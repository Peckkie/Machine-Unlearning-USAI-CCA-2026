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Decisions" sheetId="3" state="visible" r:id="rId3"/>
    <sheet xmlns:r="http://schemas.openxmlformats.org/officeDocument/2006/relationships" name="Log" sheetId="4" state="visible" r:id="rId4"/>
    <sheet xmlns:r="http://schemas.openxmlformats.org/officeDocument/2006/relationships" name="Settings" sheetId="5" state="visible" r:id="rId5"/>
  </sheets>
  <definedNames>
    <definedName name="_xlnm._FilterDatabase" localSheetId="0" hidden="1">'Runs'!$A$4:$S$19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color rgb="000000FF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/>
    </xf>
    <xf numFmtId="9" fontId="4" fillId="0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165" fontId="6" fillId="3" borderId="1" applyAlignment="1" pivotButton="0" quotePrefix="0" xfId="0">
      <alignment vertical="top"/>
    </xf>
    <xf numFmtId="165" fontId="4" fillId="3" borderId="1" applyAlignment="1" pivotButton="0" quotePrefix="0" xfId="0">
      <alignment vertical="top"/>
    </xf>
    <xf numFmtId="0" fontId="7" fillId="0" borderId="0" pivotButton="0" quotePrefix="0" xfId="0"/>
    <xf numFmtId="0" fontId="3" fillId="2" borderId="1" applyAlignment="1" pivotButton="0" quotePrefix="0" xfId="0">
      <alignment horizontal="center" wrapText="1"/>
    </xf>
    <xf numFmtId="165" fontId="4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FFEB9C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tracker</author>
  </authors>
  <commentList>
    <comment ref="L13" authorId="0" shapeId="0">
      <text>
        <t>ใส่ E_C1 เมื่อตัดสินใจ D2 แล้ว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34" customWidth="1" min="5" max="5"/>
    <col width="6" customWidth="1" min="6" max="6"/>
    <col width="13" customWidth="1" min="7" max="7"/>
    <col width="13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9" customWidth="1" min="15" max="15"/>
    <col width="9" customWidth="1" min="16" max="16"/>
    <col width="15" customWidth="1" min="17" max="17"/>
    <col width="15" customWidth="1" min="18" max="18"/>
    <col width="48" customWidth="1" min="19" max="19"/>
  </cols>
  <sheetData>
    <row r="1">
      <c r="A1" s="1" t="inlineStr">
        <is>
          <t>Experiment Tracker — X1 / X2 (EfficientNet-B5) · เครื่อง 29 (RTX 2080 Ti ×2, env AI tf 2.6.2) · อัปเดต 2026-10-06 10:50</t>
        </is>
      </c>
    </row>
    <row r="2">
      <c r="A2" s="2" t="inlineStr">
        <is>
          <t>ช่องสีเหลือง = กรอก/อัปเดตเอง (ดูค่าจาก: bash experiments/status.sh) · Status เลือกจาก dropdown · Progress และ Lab/Field ดึงอัตโนมัติจาก sheet Results</t>
        </is>
      </c>
    </row>
    <row r="4" ht="30" customHeight="1">
      <c r="A4" s="3" t="inlineStr">
        <is>
          <t>ID</t>
        </is>
      </c>
      <c r="B4" s="3" t="inlineStr">
        <is>
          <t>Group</t>
        </is>
      </c>
      <c r="C4" s="3" t="inlineStr">
        <is>
          <t>Model</t>
        </is>
      </c>
      <c r="D4" s="3" t="inlineStr">
        <is>
          <t>Seed</t>
        </is>
      </c>
      <c r="E4" s="3" t="inlineStr">
        <is>
          <t>Stage / ค่า</t>
        </is>
      </c>
      <c r="F4" s="3" t="inlineStr">
        <is>
          <t>GPU</t>
        </is>
      </c>
      <c r="G4" s="3" t="inlineStr">
        <is>
          <t>Screen</t>
        </is>
      </c>
      <c r="H4" s="3" t="inlineStr">
        <is>
          <t>Status</t>
        </is>
      </c>
      <c r="I4" s="3" t="inlineStr">
        <is>
          <t>R1 ep done</t>
        </is>
      </c>
      <c r="J4" s="3" t="inlineStr">
        <is>
          <t>R1 ep total</t>
        </is>
      </c>
      <c r="K4" s="3" t="inlineStr">
        <is>
          <t>R2 ep done</t>
        </is>
      </c>
      <c r="L4" s="3" t="inlineStr">
        <is>
          <t>R2 ep total</t>
        </is>
      </c>
      <c r="M4" s="3" t="inlineStr">
        <is>
          <t>Progress</t>
        </is>
      </c>
      <c r="N4" s="3" t="inlineStr">
        <is>
          <t>Last val_acc</t>
        </is>
      </c>
      <c r="O4" s="3" t="inlineStr">
        <is>
          <t>Lab acc</t>
        </is>
      </c>
      <c r="P4" s="3" t="inlineStr">
        <is>
          <t>Field acc</t>
        </is>
      </c>
      <c r="Q4" s="3" t="inlineStr">
        <is>
          <t>Start</t>
        </is>
      </c>
      <c r="R4" s="3" t="inlineStr">
        <is>
          <t>End</t>
        </is>
      </c>
      <c r="S4" s="3" t="inlineStr">
        <is>
          <t>Notes</t>
        </is>
      </c>
    </row>
    <row r="5">
      <c r="A5" s="4" t="inlineStr">
        <is>
          <t>P1</t>
        </is>
      </c>
      <c r="B5" s="4" t="inlineStr">
        <is>
          <t>C2 pretrain</t>
        </is>
      </c>
      <c r="C5" s="4" t="inlineStr">
        <is>
          <t>C2</t>
        </is>
      </c>
      <c r="D5" s="4" t="inlineStr"/>
      <c r="E5" s="5" t="inlineStr">
        <is>
          <t>mini-ImageNet R1 FC · lr 1e-5 · bs 16 · เครื่อง 28 (3090 Ti)</t>
        </is>
      </c>
      <c r="F5" s="6" t="n">
        <v>1</v>
      </c>
      <c r="G5" s="6" t="inlineStr">
        <is>
          <t>c2_pretrain (m28)</t>
        </is>
      </c>
      <c r="H5" s="6" t="inlineStr">
        <is>
          <t>กำลังรัน</t>
        </is>
      </c>
      <c r="I5" s="6" t="n">
        <v>70</v>
      </c>
      <c r="J5" s="4" t="n">
        <v>200</v>
      </c>
      <c r="K5" s="6" t="n">
        <v>0</v>
      </c>
      <c r="L5" s="6" t="n">
        <v>0</v>
      </c>
      <c r="M5" s="7">
        <f>IFERROR((I5+K5)/(J5+L5),"")</f>
        <v/>
      </c>
      <c r="N5" s="8" t="n">
        <v>0.8282</v>
      </c>
      <c r="O5" s="9">
        <f>IF(D5="","",IFERROR(1/(1/INDEX(Results!$D$5:$D$50,MATCH(1,INDEX((Results!$A$5:$A$50=C5)*(Results!$B$5:$B$50=D5)*(Results!$C$5:$C$50="lab"),0),0))),""))</f>
        <v/>
      </c>
      <c r="P5" s="9">
        <f>IF(D5="","",IFERROR(1/(1/INDEX(Results!$D$5:$D$50,MATCH(1,INDEX((Results!$A$5:$A$50=C5)*(Results!$B$5:$B$50=D5)*(Results!$C$5:$C$50="field"),0),0))),""))</f>
        <v/>
      </c>
      <c r="Q5" s="6" t="inlineStr">
        <is>
          <t>2026-10-02 15:49</t>
        </is>
      </c>
      <c r="R5" s="6" t="inlineStr"/>
      <c r="S5" s="10" t="inlineStr">
        <is>
          <t>10-06 10:41: ep 70/200 (~57 นาที/ep) → R1 ≈ 11 ต.ค.</t>
        </is>
      </c>
    </row>
    <row r="6">
      <c r="A6" s="4" t="inlineStr">
        <is>
          <t>P2</t>
        </is>
      </c>
      <c r="B6" s="4" t="inlineStr">
        <is>
          <t>C2 pretrain</t>
        </is>
      </c>
      <c r="C6" s="4" t="inlineStr">
        <is>
          <t>C2</t>
        </is>
      </c>
      <c r="D6" s="4" t="inlineStr"/>
      <c r="E6" s="5" t="inlineStr">
        <is>
          <t>mini-ImageNet R2 unfreeze B4-B7 · lr 1e-6 · bs 16 · เครื่อง 28</t>
        </is>
      </c>
      <c r="F6" s="6" t="n">
        <v>1</v>
      </c>
      <c r="G6" s="6" t="inlineStr">
        <is>
          <t>c2_pretrain (m28)</t>
        </is>
      </c>
      <c r="H6" s="6" t="inlineStr">
        <is>
          <t>ยังไม่เริ่ม</t>
        </is>
      </c>
      <c r="I6" s="6" t="n">
        <v>0</v>
      </c>
      <c r="J6" s="4" t="n">
        <v>50</v>
      </c>
      <c r="K6" s="6" t="n">
        <v>0</v>
      </c>
      <c r="L6" s="6" t="n">
        <v>0</v>
      </c>
      <c r="M6" s="7">
        <f>IFERROR((I6+K6)/(J6+L6),"")</f>
        <v/>
      </c>
      <c r="N6" s="8" t="n"/>
      <c r="O6" s="9">
        <f>IF(D6="","",IFERROR(1/(1/INDEX(Results!$D$5:$D$50,MATCH(1,INDEX((Results!$A$5:$A$50=C6)*(Results!$B$5:$B$50=D6)*(Results!$C$5:$C$50="lab"),0),0))),""))</f>
        <v/>
      </c>
      <c r="P6" s="9">
        <f>IF(D6="","",IFERROR(1/(1/INDEX(Results!$D$5:$D$50,MATCH(1,INDEX((Results!$A$5:$A$50=C6)*(Results!$B$5:$B$50=D6)*(Results!$C$5:$C$50="field"),0),0))),""))</f>
        <v/>
      </c>
      <c r="Q6" s="6" t="inlineStr"/>
      <c r="R6" s="6" t="inlineStr"/>
      <c r="S6" s="10" t="inlineStr">
        <is>
          <t>ต่อจาก P1 อัตโนมัติ · เสร็จแล้ว copy โมเดลไปเครื่อง 29</t>
        </is>
      </c>
    </row>
    <row r="7">
      <c r="A7" s="4" t="inlineStr">
        <is>
          <t>U1</t>
        </is>
      </c>
      <c r="B7" s="4" t="inlineStr">
        <is>
          <t>X2</t>
        </is>
      </c>
      <c r="C7" s="4" t="inlineStr">
        <is>
          <t>unlearned</t>
        </is>
      </c>
      <c r="D7" s="4" t="n">
        <v>1</v>
      </c>
      <c r="E7" s="5" t="inlineStr">
        <is>
          <t>โมเดลใน paper (train.py)</t>
        </is>
      </c>
      <c r="F7" s="6" t="inlineStr"/>
      <c r="G7" s="6" t="inlineStr"/>
      <c r="H7" s="6" t="inlineStr">
        <is>
          <t>เสร็จ</t>
        </is>
      </c>
      <c r="I7" s="6" t="n">
        <v>200</v>
      </c>
      <c r="J7" s="4" t="n">
        <v>200</v>
      </c>
      <c r="K7" s="6" t="n">
        <v>200</v>
      </c>
      <c r="L7" s="6" t="n">
        <v>200</v>
      </c>
      <c r="M7" s="7">
        <f>IFERROR((I7+K7)/(J7+L7),"")</f>
        <v/>
      </c>
      <c r="N7" s="8" t="n"/>
      <c r="O7" s="9">
        <f>IF(D7="","",IFERROR(1/(1/INDEX(Results!$D$5:$D$50,MATCH(1,INDEX((Results!$A$5:$A$50=C7)*(Results!$B$5:$B$50=D7)*(Results!$C$5:$C$50="lab"),0),0))),""))</f>
        <v/>
      </c>
      <c r="P7" s="9">
        <f>IF(D7="","",IFERROR(1/(1/INDEX(Results!$D$5:$D$50,MATCH(1,INDEX((Results!$A$5:$A$50=C7)*(Results!$B$5:$B$50=D7)*(Results!$C$5:$C$50="field"),0),0))),""))</f>
        <v/>
      </c>
      <c r="Q7" s="6" t="inlineStr"/>
      <c r="R7" s="6" t="inlineStr"/>
      <c r="S7" s="10" t="inlineStr">
        <is>
          <t>ผล evaluate ตรง Table 3/4</t>
        </is>
      </c>
    </row>
    <row r="8">
      <c r="A8" s="4" t="inlineStr">
        <is>
          <t>O1</t>
        </is>
      </c>
      <c r="B8" s="4" t="inlineStr">
        <is>
          <t>X2</t>
        </is>
      </c>
      <c r="C8" s="4" t="inlineStr">
        <is>
          <t>original</t>
        </is>
      </c>
      <c r="D8" s="4" t="n">
        <v>1</v>
      </c>
      <c r="E8" s="5" t="inlineStr">
        <is>
          <t>USAI R1 FC → R2 Block5a-B7 · bs 8 · efn</t>
        </is>
      </c>
      <c r="F8" s="6" t="n">
        <v>0</v>
      </c>
      <c r="G8" s="6" t="inlineStr">
        <is>
          <t>original</t>
        </is>
      </c>
      <c r="H8" s="6" t="inlineStr">
        <is>
          <t>เสร็จ</t>
        </is>
      </c>
      <c r="I8" s="6" t="n">
        <v>200</v>
      </c>
      <c r="J8" s="4" t="n">
        <v>200</v>
      </c>
      <c r="K8" s="6" t="n">
        <v>200</v>
      </c>
      <c r="L8" s="6" t="n">
        <v>200</v>
      </c>
      <c r="M8" s="7">
        <f>IFERROR((I8+K8)/(J8+L8),"")</f>
        <v/>
      </c>
      <c r="N8" s="8" t="n">
        <v>0.8811</v>
      </c>
      <c r="O8" s="9">
        <f>IF(D8="","",IFERROR(1/(1/INDEX(Results!$D$5:$D$50,MATCH(1,INDEX((Results!$A$5:$A$50=C8)*(Results!$B$5:$B$50=D8)*(Results!$C$5:$C$50="lab"),0),0))),""))</f>
        <v/>
      </c>
      <c r="P8" s="9">
        <f>IF(D8="","",IFERROR(1/(1/INDEX(Results!$D$5:$D$50,MATCH(1,INDEX((Results!$A$5:$A$50=C8)*(Results!$B$5:$B$50=D8)*(Results!$C$5:$C$50="field"),0),0))),""))</f>
        <v/>
      </c>
      <c r="Q8" s="6" t="inlineStr">
        <is>
          <t>2026-10-01 16:43</t>
        </is>
      </c>
      <c r="R8" s="6" t="inlineStr">
        <is>
          <t>2026-10-02</t>
        </is>
      </c>
      <c r="S8" s="10" t="inlineStr">
        <is>
          <t>R2 val 0.8811 · กำลัง evaluate (CPU, screen eval_o1)</t>
        </is>
      </c>
    </row>
    <row r="9">
      <c r="A9" s="4" t="inlineStr">
        <is>
          <t>O2</t>
        </is>
      </c>
      <c r="B9" s="4" t="inlineStr">
        <is>
          <t>X2</t>
        </is>
      </c>
      <c r="C9" s="4" t="inlineStr">
        <is>
          <t>original</t>
        </is>
      </c>
      <c r="D9" s="4" t="n">
        <v>2</v>
      </c>
      <c r="E9" s="5" t="inlineStr">
        <is>
          <t>USAI R1 FC → R2 Block5a-B7 · bs 8 · efn</t>
        </is>
      </c>
      <c r="F9" s="6" t="n">
        <v>0</v>
      </c>
      <c r="G9" s="6" t="inlineStr">
        <is>
          <t>original</t>
        </is>
      </c>
      <c r="H9" s="6" t="inlineStr">
        <is>
          <t>เสร็จ</t>
        </is>
      </c>
      <c r="I9" s="6" t="n">
        <v>200</v>
      </c>
      <c r="J9" s="4" t="n">
        <v>200</v>
      </c>
      <c r="K9" s="6" t="n">
        <v>200</v>
      </c>
      <c r="L9" s="6" t="n">
        <v>200</v>
      </c>
      <c r="M9" s="7">
        <f>IFERROR((I9+K9)/(J9+L9),"")</f>
        <v/>
      </c>
      <c r="N9" s="8" t="n">
        <v>0.875</v>
      </c>
      <c r="O9" s="9">
        <f>IF(D9="","",IFERROR(1/(1/INDEX(Results!$D$5:$D$50,MATCH(1,INDEX((Results!$A$5:$A$50=C9)*(Results!$B$5:$B$50=D9)*(Results!$C$5:$C$50="lab"),0),0))),""))</f>
        <v/>
      </c>
      <c r="P9" s="9">
        <f>IF(D9="","",IFERROR(1/(1/INDEX(Results!$D$5:$D$50,MATCH(1,INDEX((Results!$A$5:$A$50=C9)*(Results!$B$5:$B$50=D9)*(Results!$C$5:$C$50="field"),0),0))),""))</f>
        <v/>
      </c>
      <c r="Q9" s="6" t="inlineStr">
        <is>
          <t>2026-10-02</t>
        </is>
      </c>
      <c r="R9" s="6" t="inlineStr">
        <is>
          <t>2026-10-04</t>
        </is>
      </c>
      <c r="S9" s="10" t="inlineStr">
        <is>
          <t>R2 val 0.875 · evaluate (CPU, screen eval_o2)</t>
        </is>
      </c>
    </row>
    <row r="10">
      <c r="A10" s="4" t="inlineStr">
        <is>
          <t>O3</t>
        </is>
      </c>
      <c r="B10" s="4" t="inlineStr">
        <is>
          <t>X2</t>
        </is>
      </c>
      <c r="C10" s="4" t="inlineStr">
        <is>
          <t>original</t>
        </is>
      </c>
      <c r="D10" s="4" t="n">
        <v>3</v>
      </c>
      <c r="E10" s="5" t="inlineStr">
        <is>
          <t>USAI R1 FC → R2 Block5a-B7 · bs 8 · efn</t>
        </is>
      </c>
      <c r="F10" s="6" t="n">
        <v>0</v>
      </c>
      <c r="G10" s="6" t="inlineStr">
        <is>
          <t>run_gpu0</t>
        </is>
      </c>
      <c r="H10" s="6" t="inlineStr">
        <is>
          <t>เสร็จ</t>
        </is>
      </c>
      <c r="I10" s="6" t="n">
        <v>200</v>
      </c>
      <c r="J10" s="4" t="n">
        <v>200</v>
      </c>
      <c r="K10" s="6" t="n">
        <v>200</v>
      </c>
      <c r="L10" s="6" t="n">
        <v>200</v>
      </c>
      <c r="M10" s="7">
        <f>IFERROR((I10+K10)/(J10+L10),"")</f>
        <v/>
      </c>
      <c r="N10" s="8" t="n">
        <v>0.8811</v>
      </c>
      <c r="O10" s="9">
        <f>IF(D10="","",IFERROR(1/(1/INDEX(Results!$D$5:$D$50,MATCH(1,INDEX((Results!$A$5:$A$50=C10)*(Results!$B$5:$B$50=D10)*(Results!$C$5:$C$50="lab"),0),0))),""))</f>
        <v/>
      </c>
      <c r="P10" s="9">
        <f>IF(D10="","",IFERROR(1/(1/INDEX(Results!$D$5:$D$50,MATCH(1,INDEX((Results!$A$5:$A$50=C10)*(Results!$B$5:$B$50=D10)*(Results!$C$5:$C$50="field"),0),0))),""))</f>
        <v/>
      </c>
      <c r="Q10" s="6" t="inlineStr">
        <is>
          <t>2026-10-04</t>
        </is>
      </c>
      <c r="R10" s="6" t="inlineStr">
        <is>
          <t>2026-10-06</t>
        </is>
      </c>
      <c r="S10" s="10" t="inlineStr">
        <is>
          <t>R1 resume หลังไฟดับ</t>
        </is>
      </c>
    </row>
    <row r="11">
      <c r="A11" s="4" t="inlineStr">
        <is>
          <t>U2</t>
        </is>
      </c>
      <c r="B11" s="4" t="inlineStr">
        <is>
          <t>X2</t>
        </is>
      </c>
      <c r="C11" s="4" t="inlineStr">
        <is>
          <t>unlearned</t>
        </is>
      </c>
      <c r="D11" s="4" t="n">
        <v>2</v>
      </c>
      <c r="E11" s="5" t="inlineStr">
        <is>
          <t>unlearn B4-B7 ep50 → USAI R1 → R2 Block5a-B7 · เครื่อง 28 GPU 0</t>
        </is>
      </c>
      <c r="F11" s="6" t="n">
        <v>0</v>
      </c>
      <c r="G11" s="6" t="inlineStr">
        <is>
          <t>unlearned (m28)</t>
        </is>
      </c>
      <c r="H11" s="6" t="inlineStr">
        <is>
          <t>เสร็จ</t>
        </is>
      </c>
      <c r="I11" s="6" t="n">
        <v>200</v>
      </c>
      <c r="J11" s="4" t="n">
        <v>200</v>
      </c>
      <c r="K11" s="6" t="n">
        <v>200</v>
      </c>
      <c r="L11" s="6" t="n">
        <v>200</v>
      </c>
      <c r="M11" s="7">
        <f>IFERROR((I11+K11)/(J11+L11),"")</f>
        <v/>
      </c>
      <c r="N11" s="8" t="n">
        <v>0.8948</v>
      </c>
      <c r="O11" s="9">
        <f>IF(D11="","",IFERROR(1/(1/INDEX(Results!$D$5:$D$50,MATCH(1,INDEX((Results!$A$5:$A$50=C11)*(Results!$B$5:$B$50=D11)*(Results!$C$5:$C$50="lab"),0),0))),""))</f>
        <v/>
      </c>
      <c r="P11" s="9">
        <f>IF(D11="","",IFERROR(1/(1/INDEX(Results!$D$5:$D$50,MATCH(1,INDEX((Results!$A$5:$A$50=C11)*(Results!$B$5:$B$50=D11)*(Results!$C$5:$C$50="field"),0),0))),""))</f>
        <v/>
      </c>
      <c r="Q11" s="6" t="inlineStr">
        <is>
          <t>2026-10-03 15:52</t>
        </is>
      </c>
      <c r="R11" s="6" t="inlineStr">
        <is>
          <t>2026-10-06</t>
        </is>
      </c>
      <c r="S11" s="10" t="inlineStr">
        <is>
          <t>R2 resume หลังไฟดับ · evaluate บน m29 (copy โมเดล md5 ตรง)</t>
        </is>
      </c>
    </row>
    <row r="12">
      <c r="A12" s="4" t="inlineStr">
        <is>
          <t>U3</t>
        </is>
      </c>
      <c r="B12" s="4" t="inlineStr">
        <is>
          <t>X2</t>
        </is>
      </c>
      <c r="C12" s="4" t="inlineStr">
        <is>
          <t>unlearned</t>
        </is>
      </c>
      <c r="D12" s="4" t="n">
        <v>3</v>
      </c>
      <c r="E12" s="5" t="inlineStr">
        <is>
          <t>unlearn B4-B7 ep50 → USAI R1 → R2 Block5a-B7 · เครื่อง 28 GPU 0</t>
        </is>
      </c>
      <c r="F12" s="6" t="n">
        <v>0</v>
      </c>
      <c r="G12" s="6" t="inlineStr">
        <is>
          <t>unlearned (m28)</t>
        </is>
      </c>
      <c r="H12" s="6" t="inlineStr">
        <is>
          <t>กำลังรัน</t>
        </is>
      </c>
      <c r="I12" s="6" t="n">
        <v>173</v>
      </c>
      <c r="J12" s="4" t="n">
        <v>200</v>
      </c>
      <c r="K12" s="6" t="n">
        <v>0</v>
      </c>
      <c r="L12" s="6" t="n">
        <v>200</v>
      </c>
      <c r="M12" s="7">
        <f>IFERROR((I12+K12)/(J12+L12),"")</f>
        <v/>
      </c>
      <c r="N12" s="8" t="n">
        <v>0.657</v>
      </c>
      <c r="O12" s="9">
        <f>IF(D12="","",IFERROR(1/(1/INDEX(Results!$D$5:$D$50,MATCH(1,INDEX((Results!$A$5:$A$50=C12)*(Results!$B$5:$B$50=D12)*(Results!$C$5:$C$50="lab"),0),0))),""))</f>
        <v/>
      </c>
      <c r="P12" s="9">
        <f>IF(D12="","",IFERROR(1/(1/INDEX(Results!$D$5:$D$50,MATCH(1,INDEX((Results!$A$5:$A$50=C12)*(Results!$B$5:$B$50=D12)*(Results!$C$5:$C$50="field"),0),0))),""))</f>
        <v/>
      </c>
      <c r="Q12" s="6" t="inlineStr">
        <is>
          <t>2026-10-06</t>
        </is>
      </c>
      <c r="R12" s="6" t="inlineStr"/>
      <c r="S12" s="10" t="inlineStr">
        <is>
          <t>คาดเสร็จ ~7 ต.ค.</t>
        </is>
      </c>
    </row>
    <row r="13">
      <c r="A13" s="4" t="inlineStr">
        <is>
          <t>C1-1</t>
        </is>
      </c>
      <c r="B13" s="4" t="inlineStr">
        <is>
          <t>X1 C1</t>
        </is>
      </c>
      <c r="C13" s="4" t="inlineStr">
        <is>
          <t>C1</t>
        </is>
      </c>
      <c r="D13" s="4" t="n">
        <v>1</v>
      </c>
      <c r="E13" s="5" t="inlineStr">
        <is>
          <t>original pipeline, R2 = 600 ep (compute-matched, capped)</t>
        </is>
      </c>
      <c r="F13" s="6" t="n">
        <v>0</v>
      </c>
      <c r="G13" s="6" t="inlineStr">
        <is>
          <t>queue_gpu0 (m29)</t>
        </is>
      </c>
      <c r="H13" s="6" t="inlineStr">
        <is>
          <t>กำลังรัน</t>
        </is>
      </c>
      <c r="I13" s="6" t="n">
        <v>0</v>
      </c>
      <c r="J13" s="4" t="n">
        <v>200</v>
      </c>
      <c r="K13" s="6" t="n">
        <v>0</v>
      </c>
      <c r="L13" s="6" t="n">
        <v>600</v>
      </c>
      <c r="M13" s="7">
        <f>IFERROR((I13+K13)/(J13+L13),"")</f>
        <v/>
      </c>
      <c r="N13" s="8" t="n"/>
      <c r="O13" s="9">
        <f>IF(D13="","",IFERROR(1/(1/INDEX(Results!$D$5:$D$50,MATCH(1,INDEX((Results!$A$5:$A$50=C13)*(Results!$B$5:$B$50=D13)*(Results!$C$5:$C$50="lab"),0),0))),""))</f>
        <v/>
      </c>
      <c r="P13" s="9">
        <f>IF(D13="","",IFERROR(1/(1/INDEX(Results!$D$5:$D$50,MATCH(1,INDEX((Results!$A$5:$A$50=C13)*(Results!$B$5:$B$50=D13)*(Results!$C$5:$C$50="field"),0),0))),""))</f>
        <v/>
      </c>
      <c r="Q13" s="6" t="inlineStr">
        <is>
          <t>2026-10-06 10:46</t>
        </is>
      </c>
      <c r="R13" s="6" t="inlineStr"/>
      <c r="S13" s="10" t="inlineStr">
        <is>
          <t>queue m29 GPU 0 · ~2.3 วัน/seed · eval อัตโนมัติ</t>
        </is>
      </c>
    </row>
    <row r="14">
      <c r="A14" s="4" t="inlineStr">
        <is>
          <t>C1-2</t>
        </is>
      </c>
      <c r="B14" s="4" t="inlineStr">
        <is>
          <t>X1 C1</t>
        </is>
      </c>
      <c r="C14" s="4" t="inlineStr">
        <is>
          <t>C1</t>
        </is>
      </c>
      <c r="D14" s="4" t="n">
        <v>2</v>
      </c>
      <c r="E14" s="5" t="inlineStr">
        <is>
          <t>original pipeline, R2 = 600 ep (compute-matched, capped)</t>
        </is>
      </c>
      <c r="F14" s="6" t="n">
        <v>0</v>
      </c>
      <c r="G14" s="6" t="inlineStr">
        <is>
          <t>queue_gpu0 (m29)</t>
        </is>
      </c>
      <c r="H14" s="6" t="inlineStr">
        <is>
          <t>ยังไม่เริ่ม</t>
        </is>
      </c>
      <c r="I14" s="6" t="n">
        <v>0</v>
      </c>
      <c r="J14" s="4" t="n">
        <v>200</v>
      </c>
      <c r="K14" s="6" t="n">
        <v>0</v>
      </c>
      <c r="L14" s="6" t="n">
        <v>600</v>
      </c>
      <c r="M14" s="7">
        <f>IFERROR((I14+K14)/(J14+L14),"")</f>
        <v/>
      </c>
      <c r="N14" s="8" t="n"/>
      <c r="O14" s="9">
        <f>IF(D14="","",IFERROR(1/(1/INDEX(Results!$D$5:$D$50,MATCH(1,INDEX((Results!$A$5:$A$50=C14)*(Results!$B$5:$B$50=D14)*(Results!$C$5:$C$50="lab"),0),0))),""))</f>
        <v/>
      </c>
      <c r="P14" s="9">
        <f>IF(D14="","",IFERROR(1/(1/INDEX(Results!$D$5:$D$50,MATCH(1,INDEX((Results!$A$5:$A$50=C14)*(Results!$B$5:$B$50=D14)*(Results!$C$5:$C$50="field"),0),0))),""))</f>
        <v/>
      </c>
      <c r="Q14" s="6" t="inlineStr"/>
      <c r="R14" s="6" t="inlineStr"/>
      <c r="S14" s="10" t="inlineStr">
        <is>
          <t>queue m29 GPU 0 · ~2.3 วัน/seed · eval อัตโนมัติ</t>
        </is>
      </c>
    </row>
    <row r="15">
      <c r="A15" s="4" t="inlineStr">
        <is>
          <t>C1-3</t>
        </is>
      </c>
      <c r="B15" s="4" t="inlineStr">
        <is>
          <t>X1 C1</t>
        </is>
      </c>
      <c r="C15" s="4" t="inlineStr">
        <is>
          <t>C1</t>
        </is>
      </c>
      <c r="D15" s="4" t="n">
        <v>3</v>
      </c>
      <c r="E15" s="5" t="inlineStr">
        <is>
          <t>original pipeline, R2 = 600 ep (compute-matched, capped)</t>
        </is>
      </c>
      <c r="F15" s="6" t="n">
        <v>0</v>
      </c>
      <c r="G15" s="6" t="inlineStr">
        <is>
          <t>queue_gpu0 (m29)</t>
        </is>
      </c>
      <c r="H15" s="6" t="inlineStr">
        <is>
          <t>ยังไม่เริ่ม</t>
        </is>
      </c>
      <c r="I15" s="6" t="n">
        <v>0</v>
      </c>
      <c r="J15" s="4" t="n">
        <v>200</v>
      </c>
      <c r="K15" s="6" t="n">
        <v>0</v>
      </c>
      <c r="L15" s="6" t="n">
        <v>600</v>
      </c>
      <c r="M15" s="7">
        <f>IFERROR((I15+K15)/(J15+L15),"")</f>
        <v/>
      </c>
      <c r="N15" s="8" t="n"/>
      <c r="O15" s="9">
        <f>IF(D15="","",IFERROR(1/(1/INDEX(Results!$D$5:$D$50,MATCH(1,INDEX((Results!$A$5:$A$50=C15)*(Results!$B$5:$B$50=D15)*(Results!$C$5:$C$50="lab"),0),0))),""))</f>
        <v/>
      </c>
      <c r="P15" s="9">
        <f>IF(D15="","",IFERROR(1/(1/INDEX(Results!$D$5:$D$50,MATCH(1,INDEX((Results!$A$5:$A$50=C15)*(Results!$B$5:$B$50=D15)*(Results!$C$5:$C$50="field"),0),0))),""))</f>
        <v/>
      </c>
      <c r="Q15" s="6" t="inlineStr"/>
      <c r="R15" s="6" t="inlineStr"/>
      <c r="S15" s="10" t="inlineStr">
        <is>
          <t>queue m29 GPU 0 · ~2.3 วัน/seed · eval อัตโนมัติ</t>
        </is>
      </c>
    </row>
    <row r="16">
      <c r="A16" s="4" t="inlineStr">
        <is>
          <t>C2-1</t>
        </is>
      </c>
      <c r="B16" s="4" t="inlineStr">
        <is>
          <t>X1 C2</t>
        </is>
      </c>
      <c r="C16" s="4" t="inlineStr">
        <is>
          <t>C2</t>
        </is>
      </c>
      <c r="D16" s="4" t="n">
        <v>1</v>
      </c>
      <c r="E16" s="5" t="inlineStr">
        <is>
          <t>C2 pretrain → USAI R1 → R2 Block5a-B7</t>
        </is>
      </c>
      <c r="F16" s="6" t="inlineStr"/>
      <c r="G16" s="6" t="inlineStr"/>
      <c r="H16" s="6" t="inlineStr">
        <is>
          <t>ยังไม่เริ่ม</t>
        </is>
      </c>
      <c r="I16" s="6" t="n">
        <v>0</v>
      </c>
      <c r="J16" s="4" t="n">
        <v>200</v>
      </c>
      <c r="K16" s="6" t="n">
        <v>0</v>
      </c>
      <c r="L16" s="6" t="n">
        <v>200</v>
      </c>
      <c r="M16" s="7">
        <f>IFERROR((I16+K16)/(J16+L16),"")</f>
        <v/>
      </c>
      <c r="N16" s="8" t="n"/>
      <c r="O16" s="9">
        <f>IF(D16="","",IFERROR(1/(1/INDEX(Results!$D$5:$D$50,MATCH(1,INDEX((Results!$A$5:$A$50=C16)*(Results!$B$5:$B$50=D16)*(Results!$C$5:$C$50="lab"),0),0))),""))</f>
        <v/>
      </c>
      <c r="P16" s="9">
        <f>IF(D16="","",IFERROR(1/(1/INDEX(Results!$D$5:$D$50,MATCH(1,INDEX((Results!$A$5:$A$50=C16)*(Results!$B$5:$B$50=D16)*(Results!$C$5:$C$50="field"),0),0))),""))</f>
        <v/>
      </c>
      <c r="Q16" s="6" t="inlineStr"/>
      <c r="R16" s="6" t="inlineStr"/>
      <c r="S16" s="10" t="inlineStr">
        <is>
          <t>ต้องรอ P2</t>
        </is>
      </c>
    </row>
    <row r="17">
      <c r="A17" s="4" t="inlineStr">
        <is>
          <t>C2-2</t>
        </is>
      </c>
      <c r="B17" s="4" t="inlineStr">
        <is>
          <t>X1 C2</t>
        </is>
      </c>
      <c r="C17" s="4" t="inlineStr">
        <is>
          <t>C2</t>
        </is>
      </c>
      <c r="D17" s="4" t="n">
        <v>2</v>
      </c>
      <c r="E17" s="5" t="inlineStr">
        <is>
          <t>C2 pretrain → USAI R1 → R2 Block5a-B7</t>
        </is>
      </c>
      <c r="F17" s="6" t="inlineStr"/>
      <c r="G17" s="6" t="inlineStr"/>
      <c r="H17" s="6" t="inlineStr">
        <is>
          <t>ยังไม่เริ่ม</t>
        </is>
      </c>
      <c r="I17" s="6" t="n">
        <v>0</v>
      </c>
      <c r="J17" s="4" t="n">
        <v>200</v>
      </c>
      <c r="K17" s="6" t="n">
        <v>0</v>
      </c>
      <c r="L17" s="6" t="n">
        <v>200</v>
      </c>
      <c r="M17" s="7">
        <f>IFERROR((I17+K17)/(J17+L17),"")</f>
        <v/>
      </c>
      <c r="N17" s="8" t="n"/>
      <c r="O17" s="9">
        <f>IF(D17="","",IFERROR(1/(1/INDEX(Results!$D$5:$D$50,MATCH(1,INDEX((Results!$A$5:$A$50=C17)*(Results!$B$5:$B$50=D17)*(Results!$C$5:$C$50="lab"),0),0))),""))</f>
        <v/>
      </c>
      <c r="P17" s="9">
        <f>IF(D17="","",IFERROR(1/(1/INDEX(Results!$D$5:$D$50,MATCH(1,INDEX((Results!$A$5:$A$50=C17)*(Results!$B$5:$B$50=D17)*(Results!$C$5:$C$50="field"),0),0))),""))</f>
        <v/>
      </c>
      <c r="Q17" s="6" t="inlineStr"/>
      <c r="R17" s="6" t="inlineStr"/>
      <c r="S17" s="10" t="inlineStr">
        <is>
          <t>ต้องรอ P2</t>
        </is>
      </c>
    </row>
    <row r="18">
      <c r="A18" s="4" t="inlineStr">
        <is>
          <t>C2-3</t>
        </is>
      </c>
      <c r="B18" s="4" t="inlineStr">
        <is>
          <t>X1 C2</t>
        </is>
      </c>
      <c r="C18" s="4" t="inlineStr">
        <is>
          <t>C2</t>
        </is>
      </c>
      <c r="D18" s="4" t="n">
        <v>3</v>
      </c>
      <c r="E18" s="5" t="inlineStr">
        <is>
          <t>C2 pretrain → USAI R1 → R2 Block5a-B7</t>
        </is>
      </c>
      <c r="F18" s="6" t="inlineStr"/>
      <c r="G18" s="6" t="inlineStr"/>
      <c r="H18" s="6" t="inlineStr">
        <is>
          <t>ยังไม่เริ่ม</t>
        </is>
      </c>
      <c r="I18" s="6" t="n">
        <v>0</v>
      </c>
      <c r="J18" s="4" t="n">
        <v>200</v>
      </c>
      <c r="K18" s="6" t="n">
        <v>0</v>
      </c>
      <c r="L18" s="6" t="n">
        <v>200</v>
      </c>
      <c r="M18" s="7">
        <f>IFERROR((I18+K18)/(J18+L18),"")</f>
        <v/>
      </c>
      <c r="N18" s="8" t="n"/>
      <c r="O18" s="9">
        <f>IF(D18="","",IFERROR(1/(1/INDEX(Results!$D$5:$D$50,MATCH(1,INDEX((Results!$A$5:$A$50=C18)*(Results!$B$5:$B$50=D18)*(Results!$C$5:$C$50="lab"),0),0))),""))</f>
        <v/>
      </c>
      <c r="P18" s="9">
        <f>IF(D18="","",IFERROR(1/(1/INDEX(Results!$D$5:$D$50,MATCH(1,INDEX((Results!$A$5:$A$50=C18)*(Results!$B$5:$B$50=D18)*(Results!$C$5:$C$50="field"),0),0))),""))</f>
        <v/>
      </c>
      <c r="Q18" s="6" t="inlineStr"/>
      <c r="R18" s="6" t="inlineStr"/>
      <c r="S18" s="10" t="inlineStr">
        <is>
          <t>ต้องรอ P2</t>
        </is>
      </c>
    </row>
    <row r="19">
      <c r="A19" s="4" t="inlineStr">
        <is>
          <t>S1</t>
        </is>
      </c>
      <c r="B19" s="4" t="inlineStr">
        <is>
          <t>Smoke test</t>
        </is>
      </c>
      <c r="C19" s="4" t="inlineStr">
        <is>
          <t>original</t>
        </is>
      </c>
      <c r="D19" s="4" t="n">
        <v>99</v>
      </c>
      <c r="E19" s="5" t="inlineStr">
        <is>
          <t>R1 2 ep → R2 3 ep (เช็ค bug backbone: R2 val_acc ต้อง &gt; 0.65)</t>
        </is>
      </c>
      <c r="F19" s="6" t="n">
        <v>1</v>
      </c>
      <c r="G19" s="6" t="inlineStr">
        <is>
          <t>smoke</t>
        </is>
      </c>
      <c r="H19" s="6" t="inlineStr">
        <is>
          <t>เสร็จ</t>
        </is>
      </c>
      <c r="I19" s="6" t="n">
        <v>2</v>
      </c>
      <c r="J19" s="4" t="n">
        <v>2</v>
      </c>
      <c r="K19" s="6" t="n">
        <v>3</v>
      </c>
      <c r="L19" s="6" t="n">
        <v>3</v>
      </c>
      <c r="M19" s="7">
        <f>IFERROR((I19+K19)/(J19+L19),"")</f>
        <v/>
      </c>
      <c r="N19" s="8" t="n">
        <v>0.6921</v>
      </c>
      <c r="O19" s="9">
        <f>IF(D19="","",IFERROR(1/(1/INDEX(Results!$D$5:$D$50,MATCH(1,INDEX((Results!$A$5:$A$50=C19)*(Results!$B$5:$B$50=D19)*(Results!$C$5:$C$50="lab"),0),0))),""))</f>
        <v/>
      </c>
      <c r="P19" s="9">
        <f>IF(D19="","",IFERROR(1/(1/INDEX(Results!$D$5:$D$50,MATCH(1,INDEX((Results!$A$5:$A$50=C19)*(Results!$B$5:$B$50=D19)*(Results!$C$5:$C$50="field"),0),0))),""))</f>
        <v/>
      </c>
      <c r="Q19" s="6" t="inlineStr">
        <is>
          <t>2026-10-01 16:55</t>
        </is>
      </c>
      <c r="R19" s="6" t="inlineStr">
        <is>
          <t>2026-10-01</t>
        </is>
      </c>
      <c r="S19" s="10" t="inlineStr">
        <is>
          <t>R1 0.654 → R2 0.692 &gt; 0.654 ✓ แก้ backbone สำเร็จ · ไม่นับเป็นผล</t>
        </is>
      </c>
    </row>
    <row r="21">
      <c r="A21" s="11" t="inlineStr">
        <is>
          <t>สรุปสถานะ (ไม่นับ smoke test)</t>
        </is>
      </c>
    </row>
    <row r="22">
      <c r="A22" s="12" t="inlineStr">
        <is>
          <t>ยังไม่เริ่ม</t>
        </is>
      </c>
      <c r="B22" s="12">
        <f>COUNTIFS($H$5:$H$18,A22)</f>
        <v/>
      </c>
    </row>
    <row r="23">
      <c r="A23" s="12" t="inlineStr">
        <is>
          <t>กำลังรัน</t>
        </is>
      </c>
      <c r="B23" s="12">
        <f>COUNTIFS($H$5:$H$18,A23)</f>
        <v/>
      </c>
    </row>
    <row r="24">
      <c r="A24" s="12" t="inlineStr">
        <is>
          <t>เสร็จ</t>
        </is>
      </c>
      <c r="B24" s="12">
        <f>COUNTIFS($H$5:$H$18,A24)</f>
        <v/>
      </c>
    </row>
    <row r="25">
      <c r="A25" s="12" t="inlineStr">
        <is>
          <t>ล้มเหลว</t>
        </is>
      </c>
      <c r="B25" s="12">
        <f>COUNTIFS($H$5:$H$18,A25)</f>
        <v/>
      </c>
    </row>
    <row r="26">
      <c r="A26" s="12" t="inlineStr">
        <is>
          <t>รอตัดสินใจ</t>
        </is>
      </c>
      <c r="B26" s="12">
        <f>COUNTIFS($H$5:$H$18,A26)</f>
        <v/>
      </c>
    </row>
    <row r="27">
      <c r="A27" s="11" t="inlineStr">
        <is>
          <t>รวม</t>
        </is>
      </c>
      <c r="B27" s="11">
        <f>SUM(B22:B26)</f>
        <v/>
      </c>
    </row>
  </sheetData>
  <autoFilter ref="A4:S19"/>
  <conditionalFormatting sqref="H5:H19">
    <cfRule type="cellIs" priority="1" operator="equal" dxfId="0">
      <formula>"กำลังรัน"</formula>
    </cfRule>
    <cfRule type="cellIs" priority="2" operator="equal" dxfId="1">
      <formula>"เสร็จ"</formula>
    </cfRule>
    <cfRule type="cellIs" priority="3" operator="equal" dxfId="2">
      <formula>"ล้มเหลว"</formula>
    </cfRule>
    <cfRule type="cellIs" priority="4" operator="equal" dxfId="3">
      <formula>"รอตัดสินใจ"</formula>
    </cfRule>
  </conditionalFormatting>
  <conditionalFormatting sqref="M5:M19">
    <cfRule type="expression" priority="5" dxfId="1">
      <formula>AND(ISNUMBER(M5),M5&gt;=1)</formula>
    </cfRule>
  </conditionalFormatting>
  <conditionalFormatting sqref="A22:A26">
    <cfRule type="cellIs" priority="6" operator="equal" dxfId="0">
      <formula>"กำลังรัน"</formula>
    </cfRule>
    <cfRule type="cellIs" priority="7" operator="equal" dxfId="1">
      <formula>"เสร็จ"</formula>
    </cfRule>
    <cfRule type="cellIs" priority="8" operator="equal" dxfId="2">
      <formula>"ล้มเหลว"</formula>
    </cfRule>
    <cfRule type="cellIs" priority="9" operator="equal" dxfId="3">
      <formula>"รอตัดสินใจ"</formula>
    </cfRule>
  </conditionalFormatting>
  <dataValidations count="1">
    <dataValidation sqref="H5:H19" showDropDown="0" showInputMessage="0" showErrorMessage="0" allowBlank="1" type="list">
      <formula1>"ยังไม่เริ่ม,กำลังรัน,เสร็จ,ล้มเหลว,รอตัดสินใจ"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11" customWidth="1" min="4" max="4"/>
    <col width="13" customWidth="1" min="5" max="5"/>
    <col width="12" customWidth="1" min="6" max="6"/>
    <col width="11" customWidth="1" min="7" max="7"/>
    <col width="15" customWidth="1" min="8" max="8"/>
    <col width="36" customWidth="1" min="9" max="9"/>
  </cols>
  <sheetData>
    <row r="1">
      <c r="A1" s="1" t="inlineStr">
        <is>
          <t>ผล evaluate รายรอบ (จาก results_seeds.csv ที่ run_eval.sh สร้าง) + สรุป mean ± SD</t>
        </is>
      </c>
    </row>
    <row r="2">
      <c r="A2" s="2" t="inlineStr">
        <is>
          <t>กรอกผลรอบใหม่ในตารางบน (ช่องเหลือง) — ตารางสรุปด้านล่างคำนวณเอง · paired t-test ใช้ experiments/seed_stats.py · ตัวอย่างรูปแบบ: แถว unlearned seed 1 (ผลจริงของโมเดลใน paper)</t>
        </is>
      </c>
    </row>
    <row r="4">
      <c r="A4" s="3" t="inlineStr">
        <is>
          <t>model</t>
        </is>
      </c>
      <c r="B4" s="3" t="inlineStr">
        <is>
          <t>seed</t>
        </is>
      </c>
      <c r="C4" s="3" t="inlineStr">
        <is>
          <t>testset</t>
        </is>
      </c>
      <c r="D4" s="3" t="inlineStr">
        <is>
          <t>accuracy</t>
        </is>
      </c>
      <c r="E4" s="3" t="inlineStr">
        <is>
          <t>macro_precision</t>
        </is>
      </c>
      <c r="F4" s="3" t="inlineStr">
        <is>
          <t>macro_recall</t>
        </is>
      </c>
      <c r="G4" s="3" t="inlineStr">
        <is>
          <t>macro_f1</t>
        </is>
      </c>
      <c r="H4" s="3" t="inlineStr">
        <is>
          <t>balanced_accuracy</t>
        </is>
      </c>
      <c r="I4" s="3" t="inlineStr">
        <is>
          <t>หมายเหตุ</t>
        </is>
      </c>
    </row>
    <row r="5">
      <c r="A5" s="4" t="inlineStr">
        <is>
          <t>unlearned</t>
        </is>
      </c>
      <c r="B5" s="4" t="n">
        <v>1</v>
      </c>
      <c r="C5" s="4" t="inlineStr">
        <is>
          <t>lab</t>
        </is>
      </c>
      <c r="D5" s="13" t="n">
        <v>0.8864</v>
      </c>
      <c r="E5" s="13" t="n">
        <v>0.8263</v>
      </c>
      <c r="F5" s="13" t="n">
        <v>0.7101</v>
      </c>
      <c r="G5" s="13" t="n">
        <v>0.7553</v>
      </c>
      <c r="H5" s="13" t="n">
        <v>0.7101</v>
      </c>
      <c r="I5" s="5" t="inlineStr">
        <is>
          <t>โมเดลใน paper (PAPER_UNLEARNED_H5)</t>
        </is>
      </c>
    </row>
    <row r="6">
      <c r="A6" s="4" t="inlineStr">
        <is>
          <t>unlearned</t>
        </is>
      </c>
      <c r="B6" s="4" t="n">
        <v>1</v>
      </c>
      <c r="C6" s="4" t="inlineStr">
        <is>
          <t>field</t>
        </is>
      </c>
      <c r="D6" s="13" t="n">
        <v>0.8488</v>
      </c>
      <c r="E6" s="13" t="n">
        <v>0.2118</v>
      </c>
      <c r="F6" s="13" t="n">
        <v>0.2076</v>
      </c>
      <c r="G6" s="13" t="n">
        <v>0.174</v>
      </c>
      <c r="H6" s="13" t="n">
        <v>0.2699</v>
      </c>
      <c r="I6" s="5" t="inlineStr">
        <is>
          <t>โมเดลใน paper (PAPER_UNLEARNED_H5)</t>
        </is>
      </c>
    </row>
    <row r="7">
      <c r="A7" s="4" t="inlineStr">
        <is>
          <t>original</t>
        </is>
      </c>
      <c r="B7" s="4" t="n">
        <v>1</v>
      </c>
      <c r="C7" s="4" t="inlineStr">
        <is>
          <t>lab</t>
        </is>
      </c>
      <c r="D7" s="14" t="n"/>
      <c r="E7" s="14" t="n"/>
      <c r="F7" s="14" t="n"/>
      <c r="G7" s="14" t="n"/>
      <c r="H7" s="14" t="n"/>
      <c r="I7" s="5" t="inlineStr"/>
    </row>
    <row r="8">
      <c r="A8" s="4" t="inlineStr">
        <is>
          <t>original</t>
        </is>
      </c>
      <c r="B8" s="4" t="n">
        <v>1</v>
      </c>
      <c r="C8" s="4" t="inlineStr">
        <is>
          <t>field</t>
        </is>
      </c>
      <c r="D8" s="14" t="n"/>
      <c r="E8" s="14" t="n"/>
      <c r="F8" s="14" t="n"/>
      <c r="G8" s="14" t="n"/>
      <c r="H8" s="14" t="n"/>
      <c r="I8" s="5" t="inlineStr"/>
    </row>
    <row r="9">
      <c r="A9" s="4" t="inlineStr">
        <is>
          <t>original</t>
        </is>
      </c>
      <c r="B9" s="4" t="n">
        <v>2</v>
      </c>
      <c r="C9" s="4" t="inlineStr">
        <is>
          <t>lab</t>
        </is>
      </c>
      <c r="D9" s="14" t="n"/>
      <c r="E9" s="14" t="n"/>
      <c r="F9" s="14" t="n"/>
      <c r="G9" s="14" t="n"/>
      <c r="H9" s="14" t="n"/>
      <c r="I9" s="5" t="inlineStr"/>
    </row>
    <row r="10">
      <c r="A10" s="4" t="inlineStr">
        <is>
          <t>original</t>
        </is>
      </c>
      <c r="B10" s="4" t="n">
        <v>2</v>
      </c>
      <c r="C10" s="4" t="inlineStr">
        <is>
          <t>field</t>
        </is>
      </c>
      <c r="D10" s="14" t="n"/>
      <c r="E10" s="14" t="n"/>
      <c r="F10" s="14" t="n"/>
      <c r="G10" s="14" t="n"/>
      <c r="H10" s="14" t="n"/>
      <c r="I10" s="5" t="inlineStr"/>
    </row>
    <row r="11">
      <c r="A11" s="4" t="inlineStr">
        <is>
          <t>original</t>
        </is>
      </c>
      <c r="B11" s="4" t="n">
        <v>3</v>
      </c>
      <c r="C11" s="4" t="inlineStr">
        <is>
          <t>lab</t>
        </is>
      </c>
      <c r="D11" s="14" t="n"/>
      <c r="E11" s="14" t="n"/>
      <c r="F11" s="14" t="n"/>
      <c r="G11" s="14" t="n"/>
      <c r="H11" s="14" t="n"/>
      <c r="I11" s="5" t="inlineStr"/>
    </row>
    <row r="12">
      <c r="A12" s="4" t="inlineStr">
        <is>
          <t>original</t>
        </is>
      </c>
      <c r="B12" s="4" t="n">
        <v>3</v>
      </c>
      <c r="C12" s="4" t="inlineStr">
        <is>
          <t>field</t>
        </is>
      </c>
      <c r="D12" s="14" t="n"/>
      <c r="E12" s="14" t="n"/>
      <c r="F12" s="14" t="n"/>
      <c r="G12" s="14" t="n"/>
      <c r="H12" s="14" t="n"/>
      <c r="I12" s="5" t="inlineStr"/>
    </row>
    <row r="13">
      <c r="A13" s="4" t="inlineStr">
        <is>
          <t>unlearned</t>
        </is>
      </c>
      <c r="B13" s="4" t="n">
        <v>2</v>
      </c>
      <c r="C13" s="4" t="inlineStr">
        <is>
          <t>lab</t>
        </is>
      </c>
      <c r="D13" s="14" t="n"/>
      <c r="E13" s="14" t="n"/>
      <c r="F13" s="14" t="n"/>
      <c r="G13" s="14" t="n"/>
      <c r="H13" s="14" t="n"/>
      <c r="I13" s="5" t="inlineStr"/>
    </row>
    <row r="14">
      <c r="A14" s="4" t="inlineStr">
        <is>
          <t>unlearned</t>
        </is>
      </c>
      <c r="B14" s="4" t="n">
        <v>2</v>
      </c>
      <c r="C14" s="4" t="inlineStr">
        <is>
          <t>field</t>
        </is>
      </c>
      <c r="D14" s="14" t="n"/>
      <c r="E14" s="14" t="n"/>
      <c r="F14" s="14" t="n"/>
      <c r="G14" s="14" t="n"/>
      <c r="H14" s="14" t="n"/>
      <c r="I14" s="5" t="inlineStr"/>
    </row>
    <row r="15">
      <c r="A15" s="4" t="inlineStr">
        <is>
          <t>unlearned</t>
        </is>
      </c>
      <c r="B15" s="4" t="n">
        <v>3</v>
      </c>
      <c r="C15" s="4" t="inlineStr">
        <is>
          <t>lab</t>
        </is>
      </c>
      <c r="D15" s="14" t="n"/>
      <c r="E15" s="14" t="n"/>
      <c r="F15" s="14" t="n"/>
      <c r="G15" s="14" t="n"/>
      <c r="H15" s="14" t="n"/>
      <c r="I15" s="5" t="inlineStr"/>
    </row>
    <row r="16">
      <c r="A16" s="4" t="inlineStr">
        <is>
          <t>unlearned</t>
        </is>
      </c>
      <c r="B16" s="4" t="n">
        <v>3</v>
      </c>
      <c r="C16" s="4" t="inlineStr">
        <is>
          <t>field</t>
        </is>
      </c>
      <c r="D16" s="14" t="n"/>
      <c r="E16" s="14" t="n"/>
      <c r="F16" s="14" t="n"/>
      <c r="G16" s="14" t="n"/>
      <c r="H16" s="14" t="n"/>
      <c r="I16" s="5" t="inlineStr"/>
    </row>
    <row r="17">
      <c r="A17" s="4" t="inlineStr">
        <is>
          <t>C1</t>
        </is>
      </c>
      <c r="B17" s="4" t="n">
        <v>1</v>
      </c>
      <c r="C17" s="4" t="inlineStr">
        <is>
          <t>lab</t>
        </is>
      </c>
      <c r="D17" s="14" t="n"/>
      <c r="E17" s="14" t="n"/>
      <c r="F17" s="14" t="n"/>
      <c r="G17" s="14" t="n"/>
      <c r="H17" s="14" t="n"/>
      <c r="I17" s="5" t="inlineStr"/>
    </row>
    <row r="18">
      <c r="A18" s="4" t="inlineStr">
        <is>
          <t>C1</t>
        </is>
      </c>
      <c r="B18" s="4" t="n">
        <v>1</v>
      </c>
      <c r="C18" s="4" t="inlineStr">
        <is>
          <t>field</t>
        </is>
      </c>
      <c r="D18" s="14" t="n"/>
      <c r="E18" s="14" t="n"/>
      <c r="F18" s="14" t="n"/>
      <c r="G18" s="14" t="n"/>
      <c r="H18" s="14" t="n"/>
      <c r="I18" s="5" t="inlineStr"/>
    </row>
    <row r="19">
      <c r="A19" s="4" t="inlineStr">
        <is>
          <t>C1</t>
        </is>
      </c>
      <c r="B19" s="4" t="n">
        <v>2</v>
      </c>
      <c r="C19" s="4" t="inlineStr">
        <is>
          <t>lab</t>
        </is>
      </c>
      <c r="D19" s="14" t="n"/>
      <c r="E19" s="14" t="n"/>
      <c r="F19" s="14" t="n"/>
      <c r="G19" s="14" t="n"/>
      <c r="H19" s="14" t="n"/>
      <c r="I19" s="5" t="inlineStr"/>
    </row>
    <row r="20">
      <c r="A20" s="4" t="inlineStr">
        <is>
          <t>C1</t>
        </is>
      </c>
      <c r="B20" s="4" t="n">
        <v>2</v>
      </c>
      <c r="C20" s="4" t="inlineStr">
        <is>
          <t>field</t>
        </is>
      </c>
      <c r="D20" s="14" t="n"/>
      <c r="E20" s="14" t="n"/>
      <c r="F20" s="14" t="n"/>
      <c r="G20" s="14" t="n"/>
      <c r="H20" s="14" t="n"/>
      <c r="I20" s="5" t="inlineStr"/>
    </row>
    <row r="21">
      <c r="A21" s="4" t="inlineStr">
        <is>
          <t>C1</t>
        </is>
      </c>
      <c r="B21" s="4" t="n">
        <v>3</v>
      </c>
      <c r="C21" s="4" t="inlineStr">
        <is>
          <t>lab</t>
        </is>
      </c>
      <c r="D21" s="14" t="n"/>
      <c r="E21" s="14" t="n"/>
      <c r="F21" s="14" t="n"/>
      <c r="G21" s="14" t="n"/>
      <c r="H21" s="14" t="n"/>
      <c r="I21" s="5" t="inlineStr"/>
    </row>
    <row r="22">
      <c r="A22" s="4" t="inlineStr">
        <is>
          <t>C1</t>
        </is>
      </c>
      <c r="B22" s="4" t="n">
        <v>3</v>
      </c>
      <c r="C22" s="4" t="inlineStr">
        <is>
          <t>field</t>
        </is>
      </c>
      <c r="D22" s="14" t="n"/>
      <c r="E22" s="14" t="n"/>
      <c r="F22" s="14" t="n"/>
      <c r="G22" s="14" t="n"/>
      <c r="H22" s="14" t="n"/>
      <c r="I22" s="5" t="inlineStr"/>
    </row>
    <row r="23">
      <c r="A23" s="4" t="inlineStr">
        <is>
          <t>C2</t>
        </is>
      </c>
      <c r="B23" s="4" t="n">
        <v>1</v>
      </c>
      <c r="C23" s="4" t="inlineStr">
        <is>
          <t>lab</t>
        </is>
      </c>
      <c r="D23" s="14" t="n"/>
      <c r="E23" s="14" t="n"/>
      <c r="F23" s="14" t="n"/>
      <c r="G23" s="14" t="n"/>
      <c r="H23" s="14" t="n"/>
      <c r="I23" s="5" t="inlineStr"/>
    </row>
    <row r="24">
      <c r="A24" s="4" t="inlineStr">
        <is>
          <t>C2</t>
        </is>
      </c>
      <c r="B24" s="4" t="n">
        <v>1</v>
      </c>
      <c r="C24" s="4" t="inlineStr">
        <is>
          <t>field</t>
        </is>
      </c>
      <c r="D24" s="14" t="n"/>
      <c r="E24" s="14" t="n"/>
      <c r="F24" s="14" t="n"/>
      <c r="G24" s="14" t="n"/>
      <c r="H24" s="14" t="n"/>
      <c r="I24" s="5" t="inlineStr"/>
    </row>
    <row r="25">
      <c r="A25" s="4" t="inlineStr">
        <is>
          <t>C2</t>
        </is>
      </c>
      <c r="B25" s="4" t="n">
        <v>2</v>
      </c>
      <c r="C25" s="4" t="inlineStr">
        <is>
          <t>lab</t>
        </is>
      </c>
      <c r="D25" s="14" t="n"/>
      <c r="E25" s="14" t="n"/>
      <c r="F25" s="14" t="n"/>
      <c r="G25" s="14" t="n"/>
      <c r="H25" s="14" t="n"/>
      <c r="I25" s="5" t="inlineStr"/>
    </row>
    <row r="26">
      <c r="A26" s="4" t="inlineStr">
        <is>
          <t>C2</t>
        </is>
      </c>
      <c r="B26" s="4" t="n">
        <v>2</v>
      </c>
      <c r="C26" s="4" t="inlineStr">
        <is>
          <t>field</t>
        </is>
      </c>
      <c r="D26" s="14" t="n"/>
      <c r="E26" s="14" t="n"/>
      <c r="F26" s="14" t="n"/>
      <c r="G26" s="14" t="n"/>
      <c r="H26" s="14" t="n"/>
      <c r="I26" s="5" t="inlineStr"/>
    </row>
    <row r="27">
      <c r="A27" s="4" t="inlineStr">
        <is>
          <t>C2</t>
        </is>
      </c>
      <c r="B27" s="4" t="n">
        <v>3</v>
      </c>
      <c r="C27" s="4" t="inlineStr">
        <is>
          <t>lab</t>
        </is>
      </c>
      <c r="D27" s="14" t="n"/>
      <c r="E27" s="14" t="n"/>
      <c r="F27" s="14" t="n"/>
      <c r="G27" s="14" t="n"/>
      <c r="H27" s="14" t="n"/>
      <c r="I27" s="5" t="inlineStr"/>
    </row>
    <row r="28">
      <c r="A28" s="4" t="inlineStr">
        <is>
          <t>C2</t>
        </is>
      </c>
      <c r="B28" s="4" t="n">
        <v>3</v>
      </c>
      <c r="C28" s="4" t="inlineStr">
        <is>
          <t>field</t>
        </is>
      </c>
      <c r="D28" s="14" t="n"/>
      <c r="E28" s="14" t="n"/>
      <c r="F28" s="14" t="n"/>
      <c r="G28" s="14" t="n"/>
      <c r="H28" s="14" t="n"/>
      <c r="I28" s="5" t="inlineStr"/>
    </row>
    <row r="29">
      <c r="A29" s="4" t="n"/>
      <c r="B29" s="4" t="n"/>
      <c r="C29" s="4" t="n"/>
      <c r="D29" s="6" t="n"/>
      <c r="E29" s="6" t="n"/>
      <c r="F29" s="6" t="n"/>
      <c r="G29" s="6" t="n"/>
      <c r="H29" s="6" t="n"/>
      <c r="I29" s="5" t="n"/>
    </row>
    <row r="30">
      <c r="A30" s="4" t="n"/>
      <c r="B30" s="4" t="n"/>
      <c r="C30" s="4" t="n"/>
      <c r="D30" s="6" t="n"/>
      <c r="E30" s="6" t="n"/>
      <c r="F30" s="6" t="n"/>
      <c r="G30" s="6" t="n"/>
      <c r="H30" s="6" t="n"/>
      <c r="I30" s="5" t="n"/>
    </row>
    <row r="31">
      <c r="A31" s="4" t="n"/>
      <c r="B31" s="4" t="n"/>
      <c r="C31" s="4" t="n"/>
      <c r="D31" s="6" t="n"/>
      <c r="E31" s="6" t="n"/>
      <c r="F31" s="6" t="n"/>
      <c r="G31" s="6" t="n"/>
      <c r="H31" s="6" t="n"/>
      <c r="I31" s="5" t="n"/>
    </row>
    <row r="32">
      <c r="A32" s="4" t="n"/>
      <c r="B32" s="4" t="n"/>
      <c r="C32" s="4" t="n"/>
      <c r="D32" s="6" t="n"/>
      <c r="E32" s="6" t="n"/>
      <c r="F32" s="6" t="n"/>
      <c r="G32" s="6" t="n"/>
      <c r="H32" s="6" t="n"/>
      <c r="I32" s="5" t="n"/>
    </row>
    <row r="33">
      <c r="A33" s="4" t="n"/>
      <c r="B33" s="4" t="n"/>
      <c r="C33" s="4" t="n"/>
      <c r="D33" s="6" t="n"/>
      <c r="E33" s="6" t="n"/>
      <c r="F33" s="6" t="n"/>
      <c r="G33" s="6" t="n"/>
      <c r="H33" s="6" t="n"/>
      <c r="I33" s="5" t="n"/>
    </row>
    <row r="34">
      <c r="A34" s="4" t="n"/>
      <c r="B34" s="4" t="n"/>
      <c r="C34" s="4" t="n"/>
      <c r="D34" s="6" t="n"/>
      <c r="E34" s="6" t="n"/>
      <c r="F34" s="6" t="n"/>
      <c r="G34" s="6" t="n"/>
      <c r="H34" s="6" t="n"/>
      <c r="I34" s="5" t="n"/>
    </row>
    <row r="35">
      <c r="A35" s="4" t="n"/>
      <c r="B35" s="4" t="n"/>
      <c r="C35" s="4" t="n"/>
      <c r="D35" s="6" t="n"/>
      <c r="E35" s="6" t="n"/>
      <c r="F35" s="6" t="n"/>
      <c r="G35" s="6" t="n"/>
      <c r="H35" s="6" t="n"/>
      <c r="I35" s="5" t="n"/>
    </row>
    <row r="36">
      <c r="A36" s="4" t="n"/>
      <c r="B36" s="4" t="n"/>
      <c r="C36" s="4" t="n"/>
      <c r="D36" s="6" t="n"/>
      <c r="E36" s="6" t="n"/>
      <c r="F36" s="6" t="n"/>
      <c r="G36" s="6" t="n"/>
      <c r="H36" s="6" t="n"/>
      <c r="I36" s="5" t="n"/>
    </row>
    <row r="37">
      <c r="A37" s="4" t="n"/>
      <c r="B37" s="4" t="n"/>
      <c r="C37" s="4" t="n"/>
      <c r="D37" s="6" t="n"/>
      <c r="E37" s="6" t="n"/>
      <c r="F37" s="6" t="n"/>
      <c r="G37" s="6" t="n"/>
      <c r="H37" s="6" t="n"/>
      <c r="I37" s="5" t="n"/>
    </row>
    <row r="38">
      <c r="A38" s="4" t="n"/>
      <c r="B38" s="4" t="n"/>
      <c r="C38" s="4" t="n"/>
      <c r="D38" s="6" t="n"/>
      <c r="E38" s="6" t="n"/>
      <c r="F38" s="6" t="n"/>
      <c r="G38" s="6" t="n"/>
      <c r="H38" s="6" t="n"/>
      <c r="I38" s="5" t="n"/>
    </row>
    <row r="39">
      <c r="A39" s="4" t="n"/>
      <c r="B39" s="4" t="n"/>
      <c r="C39" s="4" t="n"/>
      <c r="D39" s="6" t="n"/>
      <c r="E39" s="6" t="n"/>
      <c r="F39" s="6" t="n"/>
      <c r="G39" s="6" t="n"/>
      <c r="H39" s="6" t="n"/>
      <c r="I39" s="5" t="n"/>
    </row>
    <row r="40">
      <c r="A40" s="4" t="n"/>
      <c r="B40" s="4" t="n"/>
      <c r="C40" s="4" t="n"/>
      <c r="D40" s="6" t="n"/>
      <c r="E40" s="6" t="n"/>
      <c r="F40" s="6" t="n"/>
      <c r="G40" s="6" t="n"/>
      <c r="H40" s="6" t="n"/>
      <c r="I40" s="5" t="n"/>
    </row>
    <row r="41">
      <c r="A41" s="4" t="n"/>
      <c r="B41" s="4" t="n"/>
      <c r="C41" s="4" t="n"/>
      <c r="D41" s="6" t="n"/>
      <c r="E41" s="6" t="n"/>
      <c r="F41" s="6" t="n"/>
      <c r="G41" s="6" t="n"/>
      <c r="H41" s="6" t="n"/>
      <c r="I41" s="5" t="n"/>
    </row>
    <row r="42">
      <c r="A42" s="4" t="n"/>
      <c r="B42" s="4" t="n"/>
      <c r="C42" s="4" t="n"/>
      <c r="D42" s="6" t="n"/>
      <c r="E42" s="6" t="n"/>
      <c r="F42" s="6" t="n"/>
      <c r="G42" s="6" t="n"/>
      <c r="H42" s="6" t="n"/>
      <c r="I42" s="5" t="n"/>
    </row>
    <row r="43">
      <c r="A43" s="4" t="n"/>
      <c r="B43" s="4" t="n"/>
      <c r="C43" s="4" t="n"/>
      <c r="D43" s="6" t="n"/>
      <c r="E43" s="6" t="n"/>
      <c r="F43" s="6" t="n"/>
      <c r="G43" s="6" t="n"/>
      <c r="H43" s="6" t="n"/>
      <c r="I43" s="5" t="n"/>
    </row>
    <row r="44">
      <c r="A44" s="4" t="n"/>
      <c r="B44" s="4" t="n"/>
      <c r="C44" s="4" t="n"/>
      <c r="D44" s="6" t="n"/>
      <c r="E44" s="6" t="n"/>
      <c r="F44" s="6" t="n"/>
      <c r="G44" s="6" t="n"/>
      <c r="H44" s="6" t="n"/>
      <c r="I44" s="5" t="n"/>
    </row>
    <row r="45">
      <c r="A45" s="4" t="n"/>
      <c r="B45" s="4" t="n"/>
      <c r="C45" s="4" t="n"/>
      <c r="D45" s="6" t="n"/>
      <c r="E45" s="6" t="n"/>
      <c r="F45" s="6" t="n"/>
      <c r="G45" s="6" t="n"/>
      <c r="H45" s="6" t="n"/>
      <c r="I45" s="5" t="n"/>
    </row>
    <row r="46">
      <c r="A46" s="4" t="n"/>
      <c r="B46" s="4" t="n"/>
      <c r="C46" s="4" t="n"/>
      <c r="D46" s="6" t="n"/>
      <c r="E46" s="6" t="n"/>
      <c r="F46" s="6" t="n"/>
      <c r="G46" s="6" t="n"/>
      <c r="H46" s="6" t="n"/>
      <c r="I46" s="5" t="n"/>
    </row>
    <row r="47">
      <c r="A47" s="4" t="n"/>
      <c r="B47" s="4" t="n"/>
      <c r="C47" s="4" t="n"/>
      <c r="D47" s="6" t="n"/>
      <c r="E47" s="6" t="n"/>
      <c r="F47" s="6" t="n"/>
      <c r="G47" s="6" t="n"/>
      <c r="H47" s="6" t="n"/>
      <c r="I47" s="5" t="n"/>
    </row>
    <row r="48">
      <c r="A48" s="4" t="n"/>
      <c r="B48" s="4" t="n"/>
      <c r="C48" s="4" t="n"/>
      <c r="D48" s="6" t="n"/>
      <c r="E48" s="6" t="n"/>
      <c r="F48" s="6" t="n"/>
      <c r="G48" s="6" t="n"/>
      <c r="H48" s="6" t="n"/>
      <c r="I48" s="5" t="n"/>
    </row>
    <row r="49">
      <c r="A49" s="4" t="n"/>
      <c r="B49" s="4" t="n"/>
      <c r="C49" s="4" t="n"/>
      <c r="D49" s="6" t="n"/>
      <c r="E49" s="6" t="n"/>
      <c r="F49" s="6" t="n"/>
      <c r="G49" s="6" t="n"/>
      <c r="H49" s="6" t="n"/>
      <c r="I49" s="5" t="n"/>
    </row>
    <row r="50">
      <c r="A50" s="4" t="n"/>
      <c r="B50" s="4" t="n"/>
      <c r="C50" s="4" t="n"/>
      <c r="D50" s="6" t="n"/>
      <c r="E50" s="6" t="n"/>
      <c r="F50" s="6" t="n"/>
      <c r="G50" s="6" t="n"/>
      <c r="H50" s="6" t="n"/>
      <c r="I50" s="5" t="n"/>
    </row>
    <row r="52">
      <c r="A52" s="15" t="inlineStr">
        <is>
          <t>สรุปข้าม seeds</t>
        </is>
      </c>
    </row>
    <row r="53" ht="30" customHeight="1">
      <c r="A53" s="16" t="inlineStr">
        <is>
          <t>model</t>
        </is>
      </c>
      <c r="B53" s="16" t="inlineStr">
        <is>
          <t>testset</t>
        </is>
      </c>
      <c r="C53" s="16" t="inlineStr">
        <is>
          <t>n seeds</t>
        </is>
      </c>
      <c r="D53" s="16" t="inlineStr">
        <is>
          <t>acc mean</t>
        </is>
      </c>
      <c r="E53" s="16" t="inlineStr">
        <is>
          <t>acc SD</t>
        </is>
      </c>
      <c r="F53" s="16" t="inlineStr">
        <is>
          <t>F1 mean</t>
        </is>
      </c>
      <c r="G53" s="16" t="inlineStr">
        <is>
          <t>F1 SD</t>
        </is>
      </c>
      <c r="H53" s="16" t="inlineStr">
        <is>
          <t>Δacc (unlearned − model)</t>
        </is>
      </c>
      <c r="I53" s="16" t="inlineStr">
        <is>
          <t>ΔF1 (unlearned − model)</t>
        </is>
      </c>
    </row>
    <row r="54">
      <c r="A54" s="4" t="inlineStr">
        <is>
          <t>unlearned</t>
        </is>
      </c>
      <c r="B54" s="4" t="inlineStr">
        <is>
          <t>lab</t>
        </is>
      </c>
      <c r="C54" s="4">
        <f>COUNTIFS($A$5:$A$50,A54,$C$5:$C$50,B54,$D$5:$D$50,"&lt;&gt;")</f>
        <v/>
      </c>
      <c r="D54" s="17">
        <f>IF(C54=0,"",AVERAGEIFS($D$5:$D$50,$A$5:$A$50,A54,$C$5:$C$50,B54))</f>
        <v/>
      </c>
      <c r="E54" s="17">
        <f>IF(C54&lt;2,"",SQRT(SUMPRODUCT(($A$5:$A$50=A54)*($C$5:$C$50=B54)*($D$5:$D$50&lt;&gt;"")*(($D$5:$D$50-D54)^2))/(C54-1)))</f>
        <v/>
      </c>
      <c r="F54" s="17">
        <f>IF(C54=0,"",AVERAGEIFS($G$5:$G$50,$A$5:$A$50,A54,$C$5:$C$50,B54))</f>
        <v/>
      </c>
      <c r="G54" s="17">
        <f>IF(C54&lt;2,"",SQRT(SUMPRODUCT(($A$5:$A$50=A54)*($C$5:$C$50=B54)*($G$5:$G$50&lt;&gt;"")*(($G$5:$G$50-F54)^2))/(C54-1)))</f>
        <v/>
      </c>
      <c r="H54" s="17" t="inlineStr">
        <is>
          <t>(ref)</t>
        </is>
      </c>
      <c r="I54" s="17" t="inlineStr">
        <is>
          <t>(ref)</t>
        </is>
      </c>
    </row>
    <row r="55">
      <c r="A55" s="4" t="inlineStr">
        <is>
          <t>original</t>
        </is>
      </c>
      <c r="B55" s="4" t="inlineStr">
        <is>
          <t>lab</t>
        </is>
      </c>
      <c r="C55" s="4">
        <f>COUNTIFS($A$5:$A$50,A55,$C$5:$C$50,B55,$D$5:$D$50,"&lt;&gt;")</f>
        <v/>
      </c>
      <c r="D55" s="17">
        <f>IF(C55=0,"",AVERAGEIFS($D$5:$D$50,$A$5:$A$50,A55,$C$5:$C$50,B55))</f>
        <v/>
      </c>
      <c r="E55" s="17">
        <f>IF(C55&lt;2,"",SQRT(SUMPRODUCT(($A$5:$A$50=A55)*($C$5:$C$50=B55)*($D$5:$D$50&lt;&gt;"")*(($D$5:$D$50-D55)^2))/(C55-1)))</f>
        <v/>
      </c>
      <c r="F55" s="17">
        <f>IF(C55=0,"",AVERAGEIFS($G$5:$G$50,$A$5:$A$50,A55,$C$5:$C$50,B55))</f>
        <v/>
      </c>
      <c r="G55" s="17">
        <f>IF(C55&lt;2,"",SQRT(SUMPRODUCT(($A$5:$A$50=A55)*($C$5:$C$50=B55)*($G$5:$G$50&lt;&gt;"")*(($G$5:$G$50-F55)^2))/(C55-1)))</f>
        <v/>
      </c>
      <c r="H55" s="17">
        <f>IF(OR(D55="",D$54=""),"",D$54-D55)</f>
        <v/>
      </c>
      <c r="I55" s="17">
        <f>IF(OR(F55="",F$54=""),"",F$54-F55)</f>
        <v/>
      </c>
    </row>
    <row r="56">
      <c r="A56" s="4" t="inlineStr">
        <is>
          <t>C1</t>
        </is>
      </c>
      <c r="B56" s="4" t="inlineStr">
        <is>
          <t>lab</t>
        </is>
      </c>
      <c r="C56" s="4">
        <f>COUNTIFS($A$5:$A$50,A56,$C$5:$C$50,B56,$D$5:$D$50,"&lt;&gt;")</f>
        <v/>
      </c>
      <c r="D56" s="17">
        <f>IF(C56=0,"",AVERAGEIFS($D$5:$D$50,$A$5:$A$50,A56,$C$5:$C$50,B56))</f>
        <v/>
      </c>
      <c r="E56" s="17">
        <f>IF(C56&lt;2,"",SQRT(SUMPRODUCT(($A$5:$A$50=A56)*($C$5:$C$50=B56)*($D$5:$D$50&lt;&gt;"")*(($D$5:$D$50-D56)^2))/(C56-1)))</f>
        <v/>
      </c>
      <c r="F56" s="17">
        <f>IF(C56=0,"",AVERAGEIFS($G$5:$G$50,$A$5:$A$50,A56,$C$5:$C$50,B56))</f>
        <v/>
      </c>
      <c r="G56" s="17">
        <f>IF(C56&lt;2,"",SQRT(SUMPRODUCT(($A$5:$A$50=A56)*($C$5:$C$50=B56)*($G$5:$G$50&lt;&gt;"")*(($G$5:$G$50-F56)^2))/(C56-1)))</f>
        <v/>
      </c>
      <c r="H56" s="17">
        <f>IF(OR(D56="",D$54=""),"",D$54-D56)</f>
        <v/>
      </c>
      <c r="I56" s="17">
        <f>IF(OR(F56="",F$54=""),"",F$54-F56)</f>
        <v/>
      </c>
    </row>
    <row r="57">
      <c r="A57" s="4" t="inlineStr">
        <is>
          <t>C2</t>
        </is>
      </c>
      <c r="B57" s="4" t="inlineStr">
        <is>
          <t>lab</t>
        </is>
      </c>
      <c r="C57" s="4">
        <f>COUNTIFS($A$5:$A$50,A57,$C$5:$C$50,B57,$D$5:$D$50,"&lt;&gt;")</f>
        <v/>
      </c>
      <c r="D57" s="17">
        <f>IF(C57=0,"",AVERAGEIFS($D$5:$D$50,$A$5:$A$50,A57,$C$5:$C$50,B57))</f>
        <v/>
      </c>
      <c r="E57" s="17">
        <f>IF(C57&lt;2,"",SQRT(SUMPRODUCT(($A$5:$A$50=A57)*($C$5:$C$50=B57)*($D$5:$D$50&lt;&gt;"")*(($D$5:$D$50-D57)^2))/(C57-1)))</f>
        <v/>
      </c>
      <c r="F57" s="17">
        <f>IF(C57=0,"",AVERAGEIFS($G$5:$G$50,$A$5:$A$50,A57,$C$5:$C$50,B57))</f>
        <v/>
      </c>
      <c r="G57" s="17">
        <f>IF(C57&lt;2,"",SQRT(SUMPRODUCT(($A$5:$A$50=A57)*($C$5:$C$50=B57)*($G$5:$G$50&lt;&gt;"")*(($G$5:$G$50-F57)^2))/(C57-1)))</f>
        <v/>
      </c>
      <c r="H57" s="17">
        <f>IF(OR(D57="",D$54=""),"",D$54-D57)</f>
        <v/>
      </c>
      <c r="I57" s="17">
        <f>IF(OR(F57="",F$54=""),"",F$54-F57)</f>
        <v/>
      </c>
    </row>
    <row r="58">
      <c r="A58" s="4" t="inlineStr">
        <is>
          <t>unlearned</t>
        </is>
      </c>
      <c r="B58" s="4" t="inlineStr">
        <is>
          <t>field</t>
        </is>
      </c>
      <c r="C58" s="4">
        <f>COUNTIFS($A$5:$A$50,A58,$C$5:$C$50,B58,$D$5:$D$50,"&lt;&gt;")</f>
        <v/>
      </c>
      <c r="D58" s="17">
        <f>IF(C58=0,"",AVERAGEIFS($D$5:$D$50,$A$5:$A$50,A58,$C$5:$C$50,B58))</f>
        <v/>
      </c>
      <c r="E58" s="17">
        <f>IF(C58&lt;2,"",SQRT(SUMPRODUCT(($A$5:$A$50=A58)*($C$5:$C$50=B58)*($D$5:$D$50&lt;&gt;"")*(($D$5:$D$50-D58)^2))/(C58-1)))</f>
        <v/>
      </c>
      <c r="F58" s="17">
        <f>IF(C58=0,"",AVERAGEIFS($G$5:$G$50,$A$5:$A$50,A58,$C$5:$C$50,B58))</f>
        <v/>
      </c>
      <c r="G58" s="17">
        <f>IF(C58&lt;2,"",SQRT(SUMPRODUCT(($A$5:$A$50=A58)*($C$5:$C$50=B58)*($G$5:$G$50&lt;&gt;"")*(($G$5:$G$50-F58)^2))/(C58-1)))</f>
        <v/>
      </c>
      <c r="H58" s="17" t="inlineStr">
        <is>
          <t>(ref)</t>
        </is>
      </c>
      <c r="I58" s="17" t="inlineStr">
        <is>
          <t>(ref)</t>
        </is>
      </c>
    </row>
    <row r="59">
      <c r="A59" s="4" t="inlineStr">
        <is>
          <t>original</t>
        </is>
      </c>
      <c r="B59" s="4" t="inlineStr">
        <is>
          <t>field</t>
        </is>
      </c>
      <c r="C59" s="4">
        <f>COUNTIFS($A$5:$A$50,A59,$C$5:$C$50,B59,$D$5:$D$50,"&lt;&gt;")</f>
        <v/>
      </c>
      <c r="D59" s="17">
        <f>IF(C59=0,"",AVERAGEIFS($D$5:$D$50,$A$5:$A$50,A59,$C$5:$C$50,B59))</f>
        <v/>
      </c>
      <c r="E59" s="17">
        <f>IF(C59&lt;2,"",SQRT(SUMPRODUCT(($A$5:$A$50=A59)*($C$5:$C$50=B59)*($D$5:$D$50&lt;&gt;"")*(($D$5:$D$50-D59)^2))/(C59-1)))</f>
        <v/>
      </c>
      <c r="F59" s="17">
        <f>IF(C59=0,"",AVERAGEIFS($G$5:$G$50,$A$5:$A$50,A59,$C$5:$C$50,B59))</f>
        <v/>
      </c>
      <c r="G59" s="17">
        <f>IF(C59&lt;2,"",SQRT(SUMPRODUCT(($A$5:$A$50=A59)*($C$5:$C$50=B59)*($G$5:$G$50&lt;&gt;"")*(($G$5:$G$50-F59)^2))/(C59-1)))</f>
        <v/>
      </c>
      <c r="H59" s="17">
        <f>IF(OR(D59="",D$58=""),"",D$58-D59)</f>
        <v/>
      </c>
      <c r="I59" s="17">
        <f>IF(OR(F59="",F$58=""),"",F$58-F59)</f>
        <v/>
      </c>
    </row>
    <row r="60">
      <c r="A60" s="4" t="inlineStr">
        <is>
          <t>C1</t>
        </is>
      </c>
      <c r="B60" s="4" t="inlineStr">
        <is>
          <t>field</t>
        </is>
      </c>
      <c r="C60" s="4">
        <f>COUNTIFS($A$5:$A$50,A60,$C$5:$C$50,B60,$D$5:$D$50,"&lt;&gt;")</f>
        <v/>
      </c>
      <c r="D60" s="17">
        <f>IF(C60=0,"",AVERAGEIFS($D$5:$D$50,$A$5:$A$50,A60,$C$5:$C$50,B60))</f>
        <v/>
      </c>
      <c r="E60" s="17">
        <f>IF(C60&lt;2,"",SQRT(SUMPRODUCT(($A$5:$A$50=A60)*($C$5:$C$50=B60)*($D$5:$D$50&lt;&gt;"")*(($D$5:$D$50-D60)^2))/(C60-1)))</f>
        <v/>
      </c>
      <c r="F60" s="17">
        <f>IF(C60=0,"",AVERAGEIFS($G$5:$G$50,$A$5:$A$50,A60,$C$5:$C$50,B60))</f>
        <v/>
      </c>
      <c r="G60" s="17">
        <f>IF(C60&lt;2,"",SQRT(SUMPRODUCT(($A$5:$A$50=A60)*($C$5:$C$50=B60)*($G$5:$G$50&lt;&gt;"")*(($G$5:$G$50-F60)^2))/(C60-1)))</f>
        <v/>
      </c>
      <c r="H60" s="17">
        <f>IF(OR(D60="",D$58=""),"",D$58-D60)</f>
        <v/>
      </c>
      <c r="I60" s="17">
        <f>IF(OR(F60="",F$58=""),"",F$58-F60)</f>
        <v/>
      </c>
    </row>
    <row r="61">
      <c r="A61" s="4" t="inlineStr">
        <is>
          <t>C2</t>
        </is>
      </c>
      <c r="B61" s="4" t="inlineStr">
        <is>
          <t>field</t>
        </is>
      </c>
      <c r="C61" s="4">
        <f>COUNTIFS($A$5:$A$50,A61,$C$5:$C$50,B61,$D$5:$D$50,"&lt;&gt;")</f>
        <v/>
      </c>
      <c r="D61" s="17">
        <f>IF(C61=0,"",AVERAGEIFS($D$5:$D$50,$A$5:$A$50,A61,$C$5:$C$50,B61))</f>
        <v/>
      </c>
      <c r="E61" s="17">
        <f>IF(C61&lt;2,"",SQRT(SUMPRODUCT(($A$5:$A$50=A61)*($C$5:$C$50=B61)*($D$5:$D$50&lt;&gt;"")*(($D$5:$D$50-D61)^2))/(C61-1)))</f>
        <v/>
      </c>
      <c r="F61" s="17">
        <f>IF(C61=0,"",AVERAGEIFS($G$5:$G$50,$A$5:$A$50,A61,$C$5:$C$50,B61))</f>
        <v/>
      </c>
      <c r="G61" s="17">
        <f>IF(C61&lt;2,"",SQRT(SUMPRODUCT(($A$5:$A$50=A61)*($C$5:$C$50=B61)*($G$5:$G$50&lt;&gt;"")*(($G$5:$G$50-F61)^2))/(C61-1)))</f>
        <v/>
      </c>
      <c r="H61" s="17">
        <f>IF(OR(D61="",D$58=""),"",D$58-D61)</f>
        <v/>
      </c>
      <c r="I61" s="17">
        <f>IF(OR(F61="",F$58=""),"",F$58-F61)</f>
        <v/>
      </c>
    </row>
    <row r="62">
      <c r="A62" s="2" t="inlineStr">
        <is>
          <t>SD = sample SD (n−1). paired t-test / p-value: python3 experiments/seed_stats.py --csv results_seeds.csv --ref unlearned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70" customWidth="1" min="3" max="3"/>
    <col width="26" customWidth="1" min="4" max="4"/>
    <col width="26" customWidth="1" min="5" max="5"/>
    <col width="12" customWidth="1" min="6" max="6"/>
    <col width="13" customWidth="1" min="7" max="7"/>
  </cols>
  <sheetData>
    <row r="1">
      <c r="A1" s="1" t="inlineStr">
        <is>
          <t>เรื่องที่ต้องตัดสินใจ</t>
        </is>
      </c>
    </row>
    <row r="3">
      <c r="A3" s="3" t="inlineStr">
        <is>
          <t>#</t>
        </is>
      </c>
      <c r="B3" s="3" t="inlineStr">
        <is>
          <t>เรื่อง</t>
        </is>
      </c>
      <c r="C3" s="3" t="inlineStr">
        <is>
          <t>ทางเลือก</t>
        </is>
      </c>
      <c r="D3" s="3" t="inlineStr">
        <is>
          <t>แนะนำ</t>
        </is>
      </c>
      <c r="E3" s="3" t="inlineStr">
        <is>
          <t>ตัดสินใจ</t>
        </is>
      </c>
      <c r="F3" s="3" t="inlineStr">
        <is>
          <t>วันที่</t>
        </is>
      </c>
      <c r="G3" s="3" t="inlineStr">
        <is>
          <t>Status</t>
        </is>
      </c>
    </row>
    <row r="4">
      <c r="A4" s="4" t="inlineStr">
        <is>
          <t>D1</t>
        </is>
      </c>
      <c r="B4" s="5" t="inlineStr">
        <is>
          <t>C2 pre-train OOM (bs 16 ไม่พอ GPU 11 GB)</t>
        </is>
      </c>
      <c r="C4" s="5" t="inlineStr">
        <is>
          <t>(1) รันบนเครื่อง 28 / 3090 Ti 24 GB เหมือนต้นฉบับ
(2) bs 8 บนเครื่อง 29 — ต่างจาก unlearned ต้องรายงาน
(3) bs 8 + gradient accumulation (effective 16)</t>
        </is>
      </c>
      <c r="D4" s="5" t="inlineStr">
        <is>
          <t>(1) ถ้าเข้าเครื่อง 28 ได้</t>
        </is>
      </c>
      <c r="E4" s="10" t="inlineStr">
        <is>
          <t>(1) เครื่อง 28 bs 16 (หยุด llama-server ชั่วคราว)</t>
        </is>
      </c>
      <c r="F4" s="6" t="inlineStr">
        <is>
          <t>2026-10-02</t>
        </is>
      </c>
      <c r="G4" s="6" t="inlineStr">
        <is>
          <t>เสร็จ</t>
        </is>
      </c>
    </row>
    <row r="5">
      <c r="A5" s="4" t="inlineStr">
        <is>
          <t>D2</t>
        </is>
      </c>
      <c r="B5" s="5" t="inlineStr">
        <is>
          <t>วิธี compute-match ของ C1 (ตัดสินแล้ว: cap 600 ep, 10-06)</t>
        </is>
      </c>
      <c r="C5" s="5" t="inlineStr">
        <is>
          <t>(1) GPU time จาก TensorBoard log
(2) cap epoch (เช่น 600) + กราฟ val_acc vs epoch
(3) sample passes = 2,483 ep (~8–9 วัน/seed)</t>
        </is>
      </c>
      <c r="D5" s="5" t="inlineStr">
        <is>
          <t>(1) GPU time</t>
        </is>
      </c>
      <c r="E5" s="10" t="inlineStr"/>
      <c r="F5" s="6" t="inlineStr"/>
      <c r="G5" s="6" t="inlineStr">
        <is>
          <t>รอตัดสินใจ</t>
        </is>
      </c>
    </row>
    <row r="6">
      <c r="A6" s="4" t="inlineStr">
        <is>
          <t>D4</t>
        </is>
      </c>
      <c r="B6" s="5" t="inlineStr">
        <is>
          <t>GPU 1 เครื่อง 29 พัดลมเสีย</t>
        </is>
      </c>
      <c r="C6" s="5" t="inlineStr">
        <is>
          <t>ซ่อม/เปลี่ยนพัดลม · ติดพัดลมเคสชั่วคราว · ส่งเคลม</t>
        </is>
      </c>
      <c r="D6" s="5" t="inlineStr">
        <is>
          <t>แจ้งผู้ดูแลเครื่อง</t>
        </is>
      </c>
      <c r="E6" s="10" t="inlineStr"/>
      <c r="F6" s="6" t="inlineStr"/>
      <c r="G6" s="6" t="inlineStr">
        <is>
          <t>รอตัดสินใจ</t>
        </is>
      </c>
    </row>
    <row r="7">
      <c r="A7" s="4" t="inlineStr">
        <is>
          <t>D3</t>
        </is>
      </c>
      <c r="B7" s="5" t="inlineStr">
        <is>
          <t>ResNet-152V2</t>
        </is>
      </c>
      <c r="C7" s="5" t="inlineStr">
        <is>
          <t>ทำถ้า GPU ว่างหลัง EfficientNet-B5 เสร็จ</t>
        </is>
      </c>
      <c r="D7" s="5" t="inlineStr">
        <is>
          <t>หลัง EffNet-B5 เสร็จ</t>
        </is>
      </c>
      <c r="E7" s="10" t="inlineStr"/>
      <c r="F7" s="6" t="inlineStr"/>
      <c r="G7" s="6" t="inlineStr">
        <is>
          <t>ยังไม่เริ่ม</t>
        </is>
      </c>
    </row>
  </sheetData>
  <conditionalFormatting sqref="G4:G20">
    <cfRule type="cellIs" priority="1" operator="equal" dxfId="0">
      <formula>"กำลังรัน"</formula>
    </cfRule>
    <cfRule type="cellIs" priority="2" operator="equal" dxfId="1">
      <formula>"เสร็จ"</formula>
    </cfRule>
    <cfRule type="cellIs" priority="3" operator="equal" dxfId="2">
      <formula>"ล้มเหลว"</formula>
    </cfRule>
    <cfRule type="cellIs" priority="4" operator="equal" dxfId="3">
      <formula>"รอตัดสินใจ"</formula>
    </cfRule>
  </conditionalFormatting>
  <dataValidations count="1">
    <dataValidation sqref="G4:G20" showDropDown="0" showInputMessage="0" showErrorMessage="0" allowBlank="1" type="list">
      <formula1>"ยังไม่เริ่ม,กำลังรัน,เสร็จ,ล้มเหลว,รอตัดสินใจ"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62" customWidth="1" min="3" max="3"/>
    <col width="62" customWidth="1" min="4" max="4"/>
    <col width="10" customWidth="1" min="5" max="5"/>
  </cols>
  <sheetData>
    <row r="1">
      <c r="A1" s="1" t="inlineStr">
        <is>
          <t>บันทึกเหตุการณ์ / ปัญหาที่เจอ (เพิ่มแถวใหม่ด้านล่าง)</t>
        </is>
      </c>
    </row>
    <row r="3">
      <c r="A3" s="3" t="inlineStr">
        <is>
          <t>วันที่</t>
        </is>
      </c>
      <c r="B3" s="3" t="inlineStr">
        <is>
          <t>Run ID</t>
        </is>
      </c>
      <c r="C3" s="3" t="inlineStr">
        <is>
          <t>เรื่อง</t>
        </is>
      </c>
      <c r="D3" s="3" t="inlineStr">
        <is>
          <t>ผล / การแก้</t>
        </is>
      </c>
      <c r="E3" s="3" t="inlineStr">
        <is>
          <t>commit</t>
        </is>
      </c>
    </row>
    <row r="4">
      <c r="A4" s="4" t="inlineStr">
        <is>
          <t>2026-10-01</t>
        </is>
      </c>
      <c r="B4" s="4" t="inlineStr">
        <is>
          <t>O1–O3</t>
        </is>
      </c>
      <c r="C4" s="5" t="inlineStr">
        <is>
          <t>original baseline ใน train.py ใช้ tf.keras.applications EfficientNetB5 → rescale 1/255 ซ้ำ 2 ครั้ง; โมเดลเดิมทาย Normal ทุกภาพ (acc 65.4%)</t>
        </is>
      </c>
      <c r="D4" s="5" t="inlineStr">
        <is>
          <t>เพิ่ม --effnet_impl efn (efficientnet.tfkeras เหมือน unlearned) — รอยืนยันด้วย S1</t>
        </is>
      </c>
      <c r="E4" s="4" t="inlineStr">
        <is>
          <t>b247a47</t>
        </is>
      </c>
    </row>
    <row r="5">
      <c r="A5" s="4" t="inlineStr">
        <is>
          <t>2026-10-01</t>
        </is>
      </c>
      <c r="B5" s="4" t="inlineStr">
        <is>
          <t>O1–O3</t>
        </is>
      </c>
      <c r="C5" s="5" t="inlineStr">
        <is>
          <t>original ใน paper เป็นโมเดล legacy (ModelTrainByImages/R2_1/...) คนละ pipeline</t>
        </is>
      </c>
      <c r="D5" s="5" t="inlineStr">
        <is>
          <t>รัน original ใหม่ครบ 3 seeds</t>
        </is>
      </c>
      <c r="E5" s="4" t="inlineStr">
        <is>
          <t>b247a47</t>
        </is>
      </c>
    </row>
    <row r="6">
      <c r="A6" s="4" t="inlineStr">
        <is>
          <t>2026-10-01</t>
        </is>
      </c>
      <c r="B6" s="4" t="inlineStr">
        <is>
          <t>—</t>
        </is>
      </c>
      <c r="C6" s="5" t="inlineStr">
        <is>
          <t>env base (tf 2.3.1) ไม่เห็น GPU และโหลดโมเดล tf 2.6 ไม่ได้ (keepdims)</t>
        </is>
      </c>
      <c r="D6" s="5" t="inlineStr">
        <is>
          <t>ใช้ env AI ของ kannika (tf 2.6.2, GPU 2 ตัว)</t>
        </is>
      </c>
      <c r="E6" s="4" t="inlineStr">
        <is>
          <t>6240b0a</t>
        </is>
      </c>
    </row>
    <row r="7">
      <c r="A7" s="4" t="inlineStr">
        <is>
          <t>2026-10-01</t>
        </is>
      </c>
      <c r="B7" s="4" t="inlineStr">
        <is>
          <t>—</t>
        </is>
      </c>
      <c r="C7" s="5" t="inlineStr">
        <is>
          <t>env AI activate script ใช้ $LD_LIBRARY_PATH → พังภายใต้ set -u</t>
        </is>
      </c>
      <c r="D7" s="5" t="inlineStr">
        <is>
          <t>แก้ activate_env ใน _common.sh</t>
        </is>
      </c>
      <c r="E7" s="4" t="inlineStr">
        <is>
          <t>a1792b0</t>
        </is>
      </c>
    </row>
    <row r="8">
      <c r="A8" s="4" t="inlineStr">
        <is>
          <t>2026-10-01</t>
        </is>
      </c>
      <c r="B8" s="4" t="inlineStr">
        <is>
          <t>U1</t>
        </is>
      </c>
      <c r="C8" s="5" t="inlineStr">
        <is>
          <t>ตรวจ evaluate.py กับโมเดลใน paper</t>
        </is>
      </c>
      <c r="D8" s="5" t="inlineStr">
        <is>
          <t>lab 0.8864/0.826/0.710/0.755, field 0.8488/0.212/0.208/0.174 — ตรง Table 3/4</t>
        </is>
      </c>
      <c r="E8" s="4" t="inlineStr"/>
    </row>
    <row r="9">
      <c r="A9" s="4" t="inlineStr">
        <is>
          <t>2026-10-01</t>
        </is>
      </c>
      <c r="B9" s="4" t="inlineStr">
        <is>
          <t>P1</t>
        </is>
      </c>
      <c r="C9" s="5" t="inlineStr">
        <is>
          <t>C2 pre-train OOM ที่ bs 16 (2080 Ti 11 GB); ต้นฉบับเทรนบน 3090 Ti 24 GB</t>
        </is>
      </c>
      <c r="D9" s="5" t="inlineStr">
        <is>
          <t>รอ D1</t>
        </is>
      </c>
      <c r="E9" s="4" t="inlineStr"/>
    </row>
    <row r="10">
      <c r="A10" s="4" t="inlineStr">
        <is>
          <t>2026-10-01</t>
        </is>
      </c>
      <c r="B10" s="4" t="inlineStr">
        <is>
          <t>O1</t>
        </is>
      </c>
      <c r="C10" s="5" t="inlineStr">
        <is>
          <t>downstream ~4–5 นาที/epoch, GPU util ~15% (คอขวด data loading)</t>
        </is>
      </c>
      <c r="D10" s="5" t="inlineStr">
        <is>
          <t>1 seed ≈ 1.5 วัน</t>
        </is>
      </c>
      <c r="E10" s="4" t="inlineStr"/>
    </row>
    <row r="11">
      <c r="A11" s="4" t="inlineStr">
        <is>
          <t>2026-10-02</t>
        </is>
      </c>
      <c r="B11" s="4" t="inlineStr">
        <is>
          <t>S1</t>
        </is>
      </c>
      <c r="C11" s="5" t="inlineStr">
        <is>
          <t>smoke test เสร็จ: R2 val_acc 0.692 (&gt; 0.654)</t>
        </is>
      </c>
      <c r="D11" s="5" t="inlineStr">
        <is>
          <t>ยืนยันว่าแก้ bug backbone สำเร็จ</t>
        </is>
      </c>
      <c r="E11" s="4" t="inlineStr"/>
    </row>
    <row r="12">
      <c r="A12" s="4" t="inlineStr">
        <is>
          <t>2026-10-02</t>
        </is>
      </c>
      <c r="B12" s="4" t="inlineStr">
        <is>
          <t>O1</t>
        </is>
      </c>
      <c r="C12" s="5" t="inlineStr">
        <is>
          <t>R1 เสร็จ val 0.7195; R2 ep 69/200 val 0.878 — original ไม่ collapse แล้ว</t>
        </is>
      </c>
      <c r="D12" s="5" t="inlineStr">
        <is>
          <t>GPU 1 ว่างตั้งแต่ smoke test จบ</t>
        </is>
      </c>
      <c r="E12" s="4" t="inlineStr"/>
    </row>
    <row r="13">
      <c r="A13" s="4" t="inlineStr">
        <is>
          <t>2026-10-02</t>
        </is>
      </c>
      <c r="B13" s="4" t="inlineStr">
        <is>
          <t>U2–U3</t>
        </is>
      </c>
      <c r="C13" s="5" t="inlineStr">
        <is>
          <t>เริ่ม unlearned seed 2 → 3 บน GPU 1 (screen unlearned)</t>
        </is>
      </c>
      <c r="D13" s="5" t="inlineStr">
        <is>
          <t>10:49</t>
        </is>
      </c>
      <c r="E13" s="4" t="inlineStr"/>
    </row>
    <row r="14">
      <c r="A14" s="4" t="inlineStr">
        <is>
          <t>2026-10-02</t>
        </is>
      </c>
      <c r="B14" s="4" t="inlineStr">
        <is>
          <t>U2</t>
        </is>
      </c>
      <c r="C14" s="5" t="inlineStr">
        <is>
          <t>GPU 1 เครื่อง 29 พัดลม 0% ร้อน 93°C (shutdown 94°C) throttle เหลือ ~1/4 ความเร็ว</t>
        </is>
      </c>
      <c r="D14" s="5" t="inlineStr">
        <is>
          <t>หยุด U2 ที่ R1 ep 13; ห้ามใช้ GPU 1 จนกว่าจะซ่อม (ASUS RTX 2080 Ti, PCIe 65:00.0)</t>
        </is>
      </c>
      <c r="E14" s="4" t="inlineStr"/>
    </row>
    <row r="15">
      <c r="A15" s="4" t="inlineStr">
        <is>
          <t>2026-10-02</t>
        </is>
      </c>
      <c r="B15" s="4" t="inlineStr">
        <is>
          <t>P1</t>
        </is>
      </c>
      <c r="C15" s="5" t="inlineStr">
        <is>
          <t>C2 pre-train OOM บนเครื่อง 29 ที่ bs 16 และ 8 (bs 4 ได้)</t>
        </is>
      </c>
      <c r="D15" s="5" t="inlineStr">
        <is>
          <t>ย้ายไปเครื่อง 28 (3090 Ti) — สร้าง env unlearn26 (tf 2.6.2) ใหม่</t>
        </is>
      </c>
      <c r="E15" s="4" t="inlineStr">
        <is>
          <t>d9176c7</t>
        </is>
      </c>
    </row>
    <row r="16">
      <c r="A16" s="4" t="inlineStr">
        <is>
          <t>2026-10-02</t>
        </is>
      </c>
      <c r="B16" s="4" t="inlineStr">
        <is>
          <t>P1</t>
        </is>
      </c>
      <c r="C16" s="5" t="inlineStr">
        <is>
          <t>เครื่อง 28: bs 16 OOM เพราะ llama-server (root, docker 9a041d11a39f) ใช้ 8 GB</t>
        </is>
      </c>
      <c r="D16" s="5" t="inlineStr">
        <is>
          <t>ผู้ใช้หยุด container เอง → bs 16 ผ่าน → เริ่ม P1 15:49 · ต้อง sudo docker start 9a041d11a39f หลัง P2 เสร็จ</t>
        </is>
      </c>
      <c r="E16" s="4" t="inlineStr"/>
    </row>
    <row r="17">
      <c r="A17" s="4" t="inlineStr">
        <is>
          <t>2026-10-02</t>
        </is>
      </c>
      <c r="B17" s="4" t="inlineStr">
        <is>
          <t>U2–U3</t>
        </is>
      </c>
      <c r="C17" s="5" t="inlineStr">
        <is>
          <t>copy Traindf/Valdf จาก m29 → m28 (md5 ตรง), ภาพครบ 100% หลังแปลง path</t>
        </is>
      </c>
      <c r="D17" s="5" t="inlineStr">
        <is>
          <t>เริ่ม unlearned seed 2 → 3 บน m28 GPU 0 (2080 Ti พัดลมปกติ) 15:57</t>
        </is>
      </c>
      <c r="E17" s="4" t="inlineStr"/>
    </row>
    <row r="18">
      <c r="A18" s="4" t="inlineStr">
        <is>
          <t>2026-10-03</t>
        </is>
      </c>
      <c r="B18" s="4" t="inlineStr">
        <is>
          <t>U2</t>
        </is>
      </c>
      <c r="C18" s="5" t="inlineStr">
        <is>
          <t>unlearned seed 2 บน m28 หยุดเอง 10-02 16:23 (ep 7, ไม่มี error, screen หาย) — น่าจะ RAM เต็มตอนรัน A1 คู่กับ C2</t>
        </is>
      </c>
      <c r="D18" s="5" t="inlineStr">
        <is>
          <t>เริ่มใหม่ 10-03 15:52; ห้ามรันงานวิเคราะห์หนักบน m28</t>
        </is>
      </c>
      <c r="E18" s="4" t="inlineStr"/>
    </row>
    <row r="19">
      <c r="A19" s="4" t="inlineStr">
        <is>
          <t>2026-10-06</t>
        </is>
      </c>
      <c r="B19" s="4" t="inlineStr">
        <is>
          <t>C1</t>
        </is>
      </c>
      <c r="C19" s="5" t="inlineStr">
        <is>
          <t>ตั้ง E_C1 = 600 (cap) และเริ่มคิว C1 seed 1→2→3 บน m29 GPU 0 (queue.sh)</t>
        </is>
      </c>
      <c r="D19" s="5" t="inlineStr">
        <is>
          <t>ผล X2 ตอนนี้: lab acc เท่ากัน, macro-F1 unlearned สูงกว่า ~0.015 ทุก seed; field acc ของ unlearned seed 2 (0.736) ไม่ซ้ำ seed 1 (0.849)</t>
        </is>
      </c>
      <c r="E19" s="4" t="inlineStr"/>
    </row>
    <row r="20">
      <c r="A20" s="4" t="inlineStr">
        <is>
          <t>2026-10-05</t>
        </is>
      </c>
      <c r="B20" s="4" t="inlineStr">
        <is>
          <t>O3, U2, P1</t>
        </is>
      </c>
      <c r="C20" s="5" t="inlineStr">
        <is>
          <t>ไฟดับ ทั้งเครื่อง 28 และ 29 รีบูต (~10:05) screen หายหมด</t>
        </is>
      </c>
      <c r="D20" s="5" t="inlineStr">
        <is>
          <t>เพิ่ม experiments/resume.sh: ต่อจาก checkpoint ล่าสุด เทรนเฉพาะ epoch ที่เหลือ (เสีย epoch ที่ค้างอยู่ 1 epoch/งาน) · optimizer state เริ่มใหม่ตอน resume</t>
        </is>
      </c>
      <c r="E20" s="4" t="inlineStr"/>
    </row>
    <row r="21">
      <c r="A21" s="4" t="inlineStr">
        <is>
          <t>2026-10-03</t>
        </is>
      </c>
      <c r="B21" s="4" t="inlineStr">
        <is>
          <t>A1–A3</t>
        </is>
      </c>
      <c r="C21" s="5" t="inlineStr">
        <is>
          <t>A1 face metrics, A2 ultrasound stats, A3 flip consistency เสร็จ</t>
        </is>
      </c>
      <c r="D21" s="5" t="inlineStr">
        <is>
          <t>ข้อความแก้ paper: experiments/paper_revision/Revision_A1-A5.md</t>
        </is>
      </c>
      <c r="E21" s="4" t="inlineStr"/>
    </row>
    <row r="22">
      <c r="A22" s="4" t="inlineStr">
        <is>
          <t>2026-10-02</t>
        </is>
      </c>
      <c r="B22" s="4" t="inlineStr">
        <is>
          <t>—</t>
        </is>
      </c>
      <c r="C22" s="5" t="inlineStr">
        <is>
          <t>ตั้ง SSH key Mac → เครื่อง 29 (แก้ permission ~/.ssh)</t>
        </is>
      </c>
      <c r="D22" s="5" t="inlineStr">
        <is>
          <t>Claude เช็คสถานะเองได้</t>
        </is>
      </c>
      <c r="E22" s="4" t="inlineStr"/>
    </row>
    <row r="23">
      <c r="A23" s="4" t="n"/>
      <c r="B23" s="4" t="n"/>
      <c r="C23" s="5" t="n"/>
      <c r="D23" s="5" t="n"/>
      <c r="E23" s="4" t="n"/>
    </row>
    <row r="24">
      <c r="A24" s="4" t="n"/>
      <c r="B24" s="4" t="n"/>
      <c r="C24" s="5" t="n"/>
      <c r="D24" s="5" t="n"/>
      <c r="E24" s="4" t="n"/>
    </row>
    <row r="25">
      <c r="A25" s="4" t="n"/>
      <c r="B25" s="4" t="n"/>
      <c r="C25" s="5" t="n"/>
      <c r="D25" s="5" t="n"/>
      <c r="E25" s="4" t="n"/>
    </row>
    <row r="26">
      <c r="A26" s="4" t="n"/>
      <c r="B26" s="4" t="n"/>
      <c r="C26" s="5" t="n"/>
      <c r="D26" s="5" t="n"/>
      <c r="E26" s="4" t="n"/>
    </row>
    <row r="27">
      <c r="A27" s="4" t="n"/>
      <c r="B27" s="4" t="n"/>
      <c r="C27" s="5" t="n"/>
      <c r="D27" s="5" t="n"/>
      <c r="E27" s="4" t="n"/>
    </row>
    <row r="28">
      <c r="A28" s="4" t="n"/>
      <c r="B28" s="4" t="n"/>
      <c r="C28" s="5" t="n"/>
      <c r="D28" s="5" t="n"/>
      <c r="E28" s="4" t="n"/>
    </row>
    <row r="29">
      <c r="A29" s="4" t="n"/>
      <c r="B29" s="4" t="n"/>
      <c r="C29" s="5" t="n"/>
      <c r="D29" s="5" t="n"/>
      <c r="E29" s="4" t="n"/>
    </row>
    <row r="30">
      <c r="A30" s="4" t="n"/>
      <c r="B30" s="4" t="n"/>
      <c r="C30" s="5" t="n"/>
      <c r="D30" s="5" t="n"/>
      <c r="E30" s="4" t="n"/>
    </row>
    <row r="31">
      <c r="A31" s="4" t="n"/>
      <c r="B31" s="4" t="n"/>
      <c r="C31" s="5" t="n"/>
      <c r="D31" s="5" t="n"/>
      <c r="E31" s="4" t="n"/>
    </row>
    <row r="32">
      <c r="A32" s="4" t="n"/>
      <c r="B32" s="4" t="n"/>
      <c r="C32" s="5" t="n"/>
      <c r="D32" s="5" t="n"/>
      <c r="E32" s="4" t="n"/>
    </row>
    <row r="33">
      <c r="A33" s="4" t="n"/>
      <c r="B33" s="4" t="n"/>
      <c r="C33" s="5" t="n"/>
      <c r="D33" s="5" t="n"/>
      <c r="E33" s="4" t="n"/>
    </row>
    <row r="34">
      <c r="A34" s="4" t="n"/>
      <c r="B34" s="4" t="n"/>
      <c r="C34" s="5" t="n"/>
      <c r="D34" s="5" t="n"/>
      <c r="E34" s="4" t="n"/>
    </row>
    <row r="35">
      <c r="A35" s="4" t="n"/>
      <c r="B35" s="4" t="n"/>
      <c r="C35" s="5" t="n"/>
      <c r="D35" s="5" t="n"/>
      <c r="E35" s="4" t="n"/>
    </row>
    <row r="36">
      <c r="A36" s="4" t="n"/>
      <c r="B36" s="4" t="n"/>
      <c r="C36" s="5" t="n"/>
      <c r="D36" s="5" t="n"/>
      <c r="E36" s="4" t="n"/>
    </row>
    <row r="37">
      <c r="A37" s="4" t="n"/>
      <c r="B37" s="4" t="n"/>
      <c r="C37" s="5" t="n"/>
      <c r="D37" s="5" t="n"/>
      <c r="E37" s="4" t="n"/>
    </row>
    <row r="38">
      <c r="A38" s="4" t="n"/>
      <c r="B38" s="4" t="n"/>
      <c r="C38" s="5" t="n"/>
      <c r="D38" s="5" t="n"/>
      <c r="E38" s="4" t="n"/>
    </row>
    <row r="39">
      <c r="A39" s="4" t="n"/>
      <c r="B39" s="4" t="n"/>
      <c r="C39" s="5" t="n"/>
      <c r="D39" s="5" t="n"/>
      <c r="E39" s="4" t="n"/>
    </row>
    <row r="40">
      <c r="A40" s="4" t="n"/>
      <c r="B40" s="4" t="n"/>
      <c r="C40" s="5" t="n"/>
      <c r="D40" s="5" t="n"/>
      <c r="E40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40" customWidth="1" min="3" max="3"/>
  </cols>
  <sheetData>
    <row r="1">
      <c r="A1" s="1" t="inlineStr">
        <is>
          <t>ค่าที่ใช้ + คำสั่งที่ใช้บ่อย</t>
        </is>
      </c>
    </row>
    <row r="3">
      <c r="A3" s="3" t="inlineStr">
        <is>
          <t>รายการ</t>
        </is>
      </c>
      <c r="B3" s="3" t="inlineStr">
        <is>
          <t>ค่า</t>
        </is>
      </c>
      <c r="C3" s="3" t="inlineStr">
        <is>
          <t>ที่มา</t>
        </is>
      </c>
    </row>
    <row r="4">
      <c r="A4" s="4" t="inlineStr">
        <is>
          <t>Train / Val</t>
        </is>
      </c>
      <c r="B4" s="5" t="inlineStr">
        <is>
          <t>Traindf_fold4_8_v1.csv 4,601 / Valdf_fold3_v1.csv 656</t>
        </is>
      </c>
      <c r="C4" s="4" t="inlineStr">
        <is>
          <t>check_setup.sh</t>
        </is>
      </c>
    </row>
    <row r="5">
      <c r="A5" s="4" t="inlineStr">
        <is>
          <t>Lab / Field test</t>
        </is>
      </c>
      <c r="B5" s="5" t="inlineStr">
        <is>
          <t>Testdf_fold1_2_v1.csv 1,312 / UICCA_DiagRadioExp_AzureDb51Case813Image.csv 807</t>
        </is>
      </c>
      <c r="C5" s="4" t="inlineStr">
        <is>
          <t>check_setup.sh</t>
        </is>
      </c>
    </row>
    <row r="6">
      <c r="A6" s="4" t="inlineStr">
        <is>
          <t>Unlearn R1 / R2</t>
        </is>
      </c>
      <c r="B6" s="5" t="inlineStr">
        <is>
          <t>200 ep lr 1e-5 / checkpoint ep 50 lr 1e-6, bs 16, Adam</t>
        </is>
      </c>
      <c r="C6" s="4" t="inlineStr">
        <is>
          <t>Excel EffNet-ImageNet_unlearn</t>
        </is>
      </c>
    </row>
    <row r="7">
      <c r="A7" s="4" t="inlineStr">
        <is>
          <t>Downstream R1 / R2</t>
        </is>
      </c>
      <c r="B7" s="5" t="inlineStr">
        <is>
          <t>200 ep lr 2e-5 / 200 ep lr 1e-5 (Block5a-B7), bs 8, RMSprop</t>
        </is>
      </c>
      <c r="C7" s="4" t="inlineStr">
        <is>
          <t>Excel + train.py</t>
        </is>
      </c>
    </row>
    <row r="8">
      <c r="A8" s="4" t="inlineStr">
        <is>
          <t>C1 R2 epochs (E_C1)</t>
        </is>
      </c>
      <c r="B8" s="5" t="inlineStr">
        <is>
          <t>รอ D2 (sample passes = 2,483)</t>
        </is>
      </c>
      <c r="C8" s="4" t="inlineStr">
        <is>
          <t>compute_budget.py</t>
        </is>
      </c>
    </row>
    <row r="9">
      <c r="A9" s="4" t="inlineStr">
        <is>
          <t>Conda env</t>
        </is>
      </c>
      <c r="B9" s="5" t="inlineStr">
        <is>
          <t>/home/kannika/miniconda3/envs/AI (tf 2.6.2)</t>
        </is>
      </c>
      <c r="C9" s="4" t="inlineStr">
        <is>
          <t>probe_envs.sh</t>
        </is>
      </c>
    </row>
    <row r="10">
      <c r="A10" s="4" t="inlineStr">
        <is>
          <t>ผลเก็บที่</t>
        </is>
      </c>
      <c r="B10" s="5" t="inlineStr">
        <is>
          <t>/media/tohn/HDD2/Model_unlearn_2026/ (logs/, results_seeds.csv, predictions/)</t>
        </is>
      </c>
      <c r="C10" s="4" t="inlineStr">
        <is>
          <t>config_m29.sh</t>
        </is>
      </c>
    </row>
    <row r="11">
      <c r="A11" s="4" t="inlineStr">
        <is>
          <t>คำสั่ง: สถานะ</t>
        </is>
      </c>
      <c r="B11" s="5" t="inlineStr">
        <is>
          <t>ssh yupaporn@10.177.191.29 'cd ~/codes/USAI2026/Machine-Unlearning-USAI-CCA-2026 &amp;&amp; git pull -q &amp;&amp; bash experiments/status.sh'</t>
        </is>
      </c>
      <c r="C11" s="4" t="inlineStr"/>
    </row>
    <row r="12">
      <c r="A12" s="4" t="inlineStr">
        <is>
          <t>คำสั่ง: ดูหน้าจอ screen</t>
        </is>
      </c>
      <c r="B12" s="5" t="inlineStr">
        <is>
          <t>ssh -t yupaporn@10.177.191.29 'screen -r original'   (ออก: Ctrl-A แล้ว D)</t>
        </is>
      </c>
      <c r="C12" s="4" t="inlineStr"/>
    </row>
    <row r="13">
      <c r="A13" s="4" t="inlineStr">
        <is>
          <t>คำสั่ง: เริ่ม run</t>
        </is>
      </c>
      <c r="B13" s="5" t="inlineStr">
        <is>
          <t>ssh yupaporn@10.177.191.29 'cd ~/codes/USAI2026/Machine-Unlearning-USAI-CCA-2026 &amp;&amp; screen -dmS NAME bash -c "bash experiments/run_downstream.sh MODEL SEED GPU; exec bash"'</t>
        </is>
      </c>
      <c r="C13" s="4" t="inlineStr"/>
    </row>
    <row r="14">
      <c r="A14" s="4" t="inlineStr">
        <is>
          <t>คำสั่ง: evaluate</t>
        </is>
      </c>
      <c r="B14" s="5" t="inlineStr">
        <is>
          <t>ssh yupaporn@10.177.191.29 'cd ~/codes/USAI2026/Machine-Unlearning-USAI-CCA-2026 &amp;&amp; bash experiments/run_eval.sh MODEL SEED GPU'</t>
        </is>
      </c>
      <c r="C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2026-10-06T03:49:35Z</dcterms:created>
  <dcterms:modified xmlns:dcterms="http://purl.org/dc/terms/" xmlns:xsi="http://www.w3.org/2001/XMLSchema-instance" xsi:type="dcterms:W3CDTF">2026-10-06T03:49:35Z</dcterms:modified>
</cp:coreProperties>
</file>